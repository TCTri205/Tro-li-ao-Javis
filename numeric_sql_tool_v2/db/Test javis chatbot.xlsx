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sheetId="1" r:id="rId5"/>
    <sheet state="visible" name="company_example" sheetId="2" r:id="rId6"/>
    <sheet state="visible" name="meeting_01_20260526" sheetId="3" r:id="rId7"/>
    <sheet state="visible" name="meeting_02_20260520" sheetId="4" r:id="rId8"/>
    <sheet state="visible" name="meeting_03_20260515" sheetId="5" r:id="rId9"/>
  </sheets>
  <definedNames/>
  <calcPr/>
</workbook>
</file>

<file path=xl/sharedStrings.xml><?xml version="1.0" encoding="utf-8"?>
<sst xmlns="http://schemas.openxmlformats.org/spreadsheetml/2006/main" count="306" uniqueCount="287">
  <si>
    <t>Version 1</t>
  </si>
  <si>
    <t>Question_ja</t>
  </si>
  <si>
    <t>Answer_ja</t>
  </si>
  <si>
    <t>Question_vi</t>
  </si>
  <si>
    <t>Answer_vi</t>
  </si>
  <si>
    <t>Ghi chú</t>
  </si>
  <si>
    <t>User</t>
  </si>
  <si>
    <t>5月26の会議は何についてだったのですか？</t>
  </si>
  <si>
    <t>5月26日の会議では、音声認識システムの開発進捗、第二四半期予算の執行状況、新エネルギー政策への対応について議論されました。具体的には、開発チームの進捗、クラウドコストの超過と契約社員の採用凍結の検討、エネルギー使用量計測システムの導入や太陽光パネル設置などの対応計画が取り上げられました。</t>
  </si>
  <si>
    <t>5月26日の会議で、第2四半期の予算は1億5000万円でした。</t>
  </si>
  <si>
    <t>Cuộc họp ngày 26 tháng 5, kinh phí cho quý 2 là bao nhiêu?</t>
  </si>
  <si>
    <t>5月26日の会議で第2四半期の予算について発言したのは佐藤です。</t>
  </si>
  <si>
    <t>Ai là người nói về kinh phí cho quý 2 trong cuộc họp 26 tháng 5?</t>
  </si>
  <si>
    <t>音声認識プロジェクトについて話し合われた会議は、2026年5月26日の定例会議です。この会議では、音声認識システムの開発進捗、ノイズキャンセリング機能の修正予定、新エネルギー政策への対応などが議題となりました。</t>
  </si>
  <si>
    <t>Cuộc họp nào nói về dự án nhận diện giọng nói?</t>
  </si>
  <si>
    <t>会議数の件数は3です。</t>
  </si>
  <si>
    <t>Trong tháng này tôi có bao nhiêu cuộc meeting</t>
  </si>
  <si>
    <t>提供された情報では分かりません。</t>
  </si>
  <si>
    <t>Cuộc họp có thời lượng dài nhất của tôi là bao nhiêu?</t>
  </si>
  <si>
    <t>Cái này xác định nhầm numeric sang semantic (xài hybrid nhưng LLM có context quá dài nên không hiểu được hết)</t>
  </si>
  <si>
    <t>佐藤氏は5月26日の会議で、第2四半期の予算について**720秒頃**に発言しました。</t>
  </si>
  <si>
    <t>Trong cuộc họp ngày 26 tháng 5, ông Sato phát biểu về ngân sách quý 2 vào phút mấy?</t>
  </si>
  <si>
    <t>Sai</t>
  </si>
  <si>
    <t>Ngày hôm qua tôi có cuộc họp nào không?</t>
  </si>
  <si>
    <t>Cái này xác định nhầm numeric sang semantic, đồng thời không có dữ liệu ngày hôm nay</t>
  </si>
  <si>
    <t>Version 2</t>
  </si>
  <si>
    <t>5月26日の会議では、音声認識システムの開発進捗、第二四半期予算の執行状況、新エネルギー政策への対応について議論されました。具体的には、開発チームのバージョン2.3テストフェーズの進捗、クラウドコストの超過と契約社員の採用凍結の検討、エネルギー使用量計測システムの導入や太陽光パネル設置、省エネ研修の計画などが取り上げられました。</t>
  </si>
  <si>
    <t>5月26日の会議で、第2四半期の予算は一億五千万円でした。</t>
  </si>
  <si>
    <t>音声認識プロジェクトについて話し合われた会議は、2026年5月26日の定例会議です。この会議では、音声認識システムの開発進捗、ノイズキャンセリング機能の修正予定、新エネルギー政策への対応などが議論されました。</t>
  </si>
  <si>
    <t>2026-05-01から2026-05-31までに記録された会議は3件あります。</t>
  </si>
  <si>
    <t>最も長かった会議は2026-05-15の会議です。会議時間は3,610秒（約1時間10秒）です。概要: 会議では新製品「AiVoice Pro」のローンチ計画を確認し、製品概要、技術仕様、市場戦略、価格設定、リスク分析を議論した。ターゲットは中大企業で、初年度目標ユーザー数は1,000社。技術面では処理速度3倍、認識精度98%を実現。価格はベーシックプラン9,800円、プロフェッショナルプラン19,800円。ローンチ日は2026年9月1日を予定。ベータテストとリスク対策、アクションアイテムの確認が行われた。</t>
  </si>
  <si>
    <t>Thêm các dữ liệu về record khi tra cứu thành công giúp model trả lời đúng hơn so với ver1</t>
  </si>
  <si>
    <t>佐藤氏は5月26日の会議で、第2四半期の予算について約12分頃に発言しました。</t>
  </si>
  <si>
    <t>Thêm dữ liệu phút cho metadata thay vì chỉ giây như version 1</t>
  </si>
  <si>
    <t>2026-05-27に記録された会議はありません。</t>
  </si>
  <si>
    <t>Fix bằng cách thay vì không tìm thấy bằng sql thì yêu cầu tra cứu trên toàn bộ DB, cách tiếp cận hiện tại sẽ trả về rỗng</t>
  </si>
  <si>
    <t>Hỏi về kiến thúc công ty</t>
  </si>
  <si>
    <t>AJテクノロジーズは、AI技術を活用したデジタルプラットフォームの開発と、金融および不動産・住宅分野におけるソリューションの提供を専門としています。主な事業領域には、住宅ローンプラットフォーム事業、AIソリューション事業、工務店向け営業DX、OCRサービス「ラクかりex（AI-OCR）」などがあります。また、DXプラットフォーム「ホムすん」を提供し、住宅建設・住宅ローン・顧客コミュニケーションに関連する業務を最適化しています。</t>
  </si>
  <si>
    <t>Công ty AJ làm về gì?</t>
  </si>
  <si>
    <t># 経費精算規程</t>
  </si>
  <si>
    <t>## 第1条 目的</t>
  </si>
  <si>
    <t>本規程は、株式会社ジャビスにおける従業員の経費精算手続きを定めることを目的とする。経費の適正な管理と迅速な精算を実現する。</t>
  </si>
  <si>
    <t>## 第2条 対象経費</t>
  </si>
  <si>
    <t>精算対象となる経費は以下の通りとする。</t>
  </si>
  <si>
    <t>- 交通費（電車、バス、タクシー）</t>
  </si>
  <si>
    <t>- 出張に伴う宿泊費（上限 1泊 15,000円）</t>
  </si>
  <si>
    <t>- 取引先との会食費（1人あたり 5,000円まで）</t>
  </si>
  <si>
    <t>- 事務用品の購入費</t>
  </si>
  <si>
    <t>## 第3条 申請期限</t>
  </si>
  <si>
    <t>経費の申請は、支出が発生した月の翌月10日までに経理部へ提出すること。期限を過ぎた場合は、原則として精算を行わない。</t>
  </si>
  <si>
    <t>## 第4条 承認フロー</t>
  </si>
  <si>
    <t>申請された経費は、まず直属の上長が確認し、その後経理部長が最終承認を行う。10万円を超える経費については、財務担当役員（CFO）の承認を必要とする。</t>
  </si>
  <si>
    <t>## 第5条 領収書の保管</t>
  </si>
  <si>
    <t>従業員は経費に関する領収書を電子化し、経費精算システム「ジャビス・ペイ」にアップロードすること。原本は3年間保管する義務がある。</t>
  </si>
  <si>
    <t>## 第6条 不正利用の禁止</t>
  </si>
  <si>
    <t>経費の不正利用が判明した場合、当該従業員は全額返金の上、就業規則に基づき懲戒処分の対象となる。</t>
  </si>
  <si>
    <t>[00:00:05-00:00:42][田中] 皆さん、こんにちは。定例会議を始めましょう。今日のアジェンダは三点です。最初にプロジェクトの進捗確認、次に第二四半期の予算レビュー、そして最後に新エネルギー政策への対応についてです。よろしくお願いします。</t>
  </si>
  <si>
    <t>[00:00:42-00:00:55][鈴木] よろしくお願いします。</t>
  </si>
  <si>
    <t>[00:00:55-00:01:10][佐藤] よろしくお願いします。</t>
  </si>
  <si>
    <t>[00:01:10-00:01:25][山田] よろしくお願いいたします。</t>
  </si>
  <si>
    <t>[00:01:25-00:02:20][田中] まず全体状況から共有させてください。先週の営業部門の報告によると、第一四半期の売上目標達成率は九十五パーセントでした。目標には届きませんでしたが、今月に入ってからは回復傾向にあります。</t>
  </si>
  <si>
    <t>[00:02:20-00:02:50][山田] 補足させてください。先週の数字が伸び悩んだ主な原因は、大口顧客のA社との契約締結が遅れたためです。A社との件は今週中に解決する見込みです。</t>
  </si>
  <si>
    <t>[00:02:50-00:03:15][田中] ありがとうございます。では最初の議題、プロジェクト進捗に移りましょう。鈴木さん、開発チームの状況をお願いします。</t>
  </si>
  <si>
    <t>[00:03:15-00:04:10][鈴木] はい。現在、音声認識システムのバージョン2.3の開発を進めています。主要機能の実装は完了しており、現在はテストフェーズです。テスト項目の消化率は全体の約七十パーセントです。予定通り、来月の十五日にベータ版をリリースできる見込みです。</t>
  </si>
  <si>
    <t>[00:04:10-00:04:30][田中] スケジュールは維持できそうですね。</t>
  </si>
  <si>
    <t>[00:04:30-00:05:20][鈴木] はい。ただ、一点懸念事項があります。ノイズキャンセリング機能のアルゴリズムで予期しない問題が見つかりました。特定の環境下で音声認識精度が十パーセント程度低下するケースがあります。来週中に修正できる見込みですが、長引くようならスケジュールに影響が出るかもしれません。</t>
  </si>
  <si>
    <t>[00:05:20-00:05:50][山田] そのリスクは事前にトラッキングしていましたか？</t>
  </si>
  <si>
    <t>[00:05:50-00:06:35][鈴木] いいえ、今回の統合テストで初めて発見しました。個別ユニットテストでは問題なかったのですが、実際の環境でテストすると再現しました。原因はマルチスレッド処理のタイミング問題です。修正方針は明確なので、一週間以内に解決できます。</t>
  </si>
  <si>
    <t>[00:06:35-00:07:05][田中] 了解です。来週月曜日に改めて状況確認しましょう。解決できない場合は、リリーススケジュールの見直しも検討する必要があります。</t>
  </si>
  <si>
    <t>[00:07:05-00:07:25][鈴木] はい、最優先で対処します。</t>
  </si>
  <si>
    <t>[00:07:25-00:08:00][田中] 他に開発面での課題はありますか？</t>
  </si>
  <si>
    <t>[00:08:00-00:08:50][鈴木] もう一点、インフラコストについてです。クラウドサービスの利用量が当初見積もりを超えています。今月は予算の百二十パーセントの費用が発生しています。テスト環境での音声処理量が想定より多かったためです。来月からは最適化を行い、コストを削減します。</t>
  </si>
  <si>
    <t>[00:08:50-00:09:15][佐藤] その件については後ほど予算のセクションで詳しく話しましょう。数字を持ってきています。</t>
  </si>
  <si>
    <t>[00:09:15-00:09:45][田中] そうしましょう。鈴木さん、他に何かありますか？</t>
  </si>
  <si>
    <t>[00:09:45-00:10:10][鈴木] 以上です。テスト完了後、来週中に品質レポートを共有します。</t>
  </si>
  <si>
    <t>[00:10:10-00:10:30][田中] ありがとうございます。では次に、予算の話に移りましょう。佐藤さん、お願いします。</t>
  </si>
  <si>
    <t>[00:10:30-00:11:30][佐藤] はい。第二四半期の予算状況を報告します。今四半期の総予算は一億五千万円ですが、現時点での執行状況は約七十八パーセントです。残り三ヶ月で残額の執行が必要ですが、このペースでいくと若干の予算超過が見込まれます。特に開発部門の費用が増加傾向にあります。</t>
  </si>
  <si>
    <t>[00:11:30-00:12:00][鈴木] 先ほど話したクラウドコストの件ですね。</t>
  </si>
  <si>
    <t>[00:12:00-00:12:50][佐藤] そうです。具体的には、クラウド利用料が月額で約百二十万円オーバーしています。このまま放置すると、四半期末には合計で三百六十万円の超過になります。また、追加採用した契約社員の費用も予算を押し上げています。</t>
  </si>
  <si>
    <t>[00:12:50-00:13:20][田中] 三百六十万円はかなり大きいですね。対策はありますか？</t>
  </si>
  <si>
    <t>[00:13:20-00:14:10][佐藤] 二つ対策を提案しています。一つ目は、クラウドリソースの最適化です。現在使用していないリソースを整理することで、月額五十万円程度の削減が見込めます。二つ目は、来月からの採用を一時的に凍結することです。これにより月額三十万円程度の削減が可能です。合計で月額八十万円の削減を目指します。</t>
  </si>
  <si>
    <t>[00:14:10-00:14:40][山田] 採用凍結は事業計画に影響しませんか？現在進行中の採用案件はどうなりますか？</t>
  </si>
  <si>
    <t>[00:14:40-00:15:20][佐藤] 現在最終面接まで進んでいる二名については予定通り採用します。その後の新規採用を一ヶ月延期するという意味です。事業への影響は最小限に抑えられます。</t>
  </si>
  <si>
    <t>[00:15:20-00:15:50][山田] 了解しました。ならば問題ないと思います。</t>
  </si>
  <si>
    <t>[00:15:50-00:16:30][田中] 分かりました。その方向で進めましょう。来月末に改めて予算の見直しを行います。佐藤さん、来月二十八日の会議に向けた詳細な予算分析レポートを準備してもらえますか？</t>
  </si>
  <si>
    <t>[00:16:30-00:16:55][佐藤] はい、承知しました。準備します。</t>
  </si>
  <si>
    <t>[00:16:55-00:17:35][田中] もう一点確認です。第三四半期の予算申請の締め切りはいつでしたか？</t>
  </si>
  <si>
    <t>[00:17:35-00:18:05][佐藤] 六月十五日が本社への申請締め切りです。来週中に各部門から予算要求をいただく必要があります。</t>
  </si>
  <si>
    <t>[00:18:05-00:18:20][田中] 了解です。各部門長には今日中にリマインダーを送ります。それでは予算の話はここまでにして、次の議題に移りましょう。エネルギー政策への対応についてです。</t>
  </si>
  <si>
    <t>[00:18:20-00:19:15][山田] はい。先月、国から発表された新しいエネルギー政策について説明します。来年四月から、従業員五十名以上の企業に対して、エネルギー使用量の報告義務が課されることになりました。また、再生可能エネルギーの使用比率を段階的に引き上げることが推奨されています。</t>
  </si>
  <si>
    <t>[00:19:15-00:20:00][田中] それは我々の事業にも直接影響がありますね。具体的にどんな対応が必要になりますか？</t>
  </si>
  <si>
    <t>[00:20:00-00:20:50][山田] 大きく三点あります。一点目は、エネルギー使用量の計測システムの導入です。現在、各フロアの電力消費量を正確に把握できていないため、まずここから始める必要があります。二点目は、オフィスへの太陽光パネル設置の検討です。初期投資は必要ですが、長期的には電気代の削減につながります。</t>
  </si>
  <si>
    <t>[00:20:50-00:21:20][佐藤] 太陽光パネルの設置コストはどの程度を想定していますか？</t>
  </si>
  <si>
    <t>[00:21:20-00:22:10][山田] 現在、三社から見積もりを取っています。概算では、初期費用として八百万円から一千二百万円の範囲です。ただし、国の補助金制度を活用すれば、実質的な負担は半額程度になる見込みです。投資回収期間は七年から十年と見込んでいます。</t>
  </si>
  <si>
    <t>[00:22:10-00:22:55][鈴木] サーバールームのエネルギー効率化についても検討が必要ではないでしょうか。現在のサーバーは旧型で電力消費が高いです。最新サーバーに更新することで、電力消費を三十パーセント削減できます。</t>
  </si>
  <si>
    <t>[00:22:55-00:23:25][田中] それは良い指摘ですね。太陽光パネルとサーバー更新、両方合わせてエネルギー戦略として考えましょう。</t>
  </si>
  <si>
    <t>[00:23:25-00:24:10][山田] 三点目として、社員への省エネ意識向上のための研修プログラムを実施したいと考えています。行動変容が最も低コストで効果的な施策です。月一回の省エネチェック活動と省エネキャンペーンを計画しています。</t>
  </si>
  <si>
    <t>[00:24:10-00:24:40][田中] 分かりました。エネルギー政策への対応は重要な課題です。山田さん、来月末までに詳細な実施計画書を作成してください。</t>
  </si>
  <si>
    <t>[00:24:40-00:25:10][山田] 承知しました。補助金の申請スケジュールも含めて計画書にまとめます。</t>
  </si>
  <si>
    <t>[00:25:10-00:25:30][田中] ありがとうございます。では最後に、アクションアイテムを確認しましょう。</t>
  </si>
  <si>
    <t>[00:25:30-00:26:20][田中] 本日確認したアクションアイテムをまとめます。一つ目、鈴木さん、ノイズキャンセリング問題の修正を来週中に完了させること。来週月曜にSlackで状況報告をお願いします。</t>
  </si>
  <si>
    <t>[00:26:20-00:26:35][鈴木] はい、承知しました。</t>
  </si>
  <si>
    <t>[00:26:35-00:27:20][田中] 二つ目、佐藤さん、クラウドリソースの最適化とコスト削減を今月末までに実行開始すること。来月二十八日の会議に向けた予算分析レポートの準備をお願いします。</t>
  </si>
  <si>
    <t>[00:27:20-00:27:40][佐藤] 了解しました。</t>
  </si>
  <si>
    <t>[00:27:40-00:28:20][田中] 三つ目、山田さん、第三四半期の予算要求書を今週中に提出すること。エネルギー政策の実施計画書を来月末までに作成すること。</t>
  </si>
  <si>
    <t>[00:28:20-00:28:35][山田] はい、承知しました。</t>
  </si>
  <si>
    <t>[00:28:35-00:29:10][田中] 四つ目、私から、今日中に第三四半期予算申請のリマインダーを各部門長に送付。A社との契約進捗を今週中にフォローします。</t>
  </si>
  <si>
    <t>[00:29:10-00:29:40][鈴木] 田中さん、来週月曜の状況報告はSlackでよいですか、それとも打ち合わせを設定しますか？</t>
  </si>
  <si>
    <t>[00:29:40-00:30:05][田中] まずSlackで簡単なステータスを共有してもらって、問題がありそうなら打ち合わせを設定しましょう。</t>
  </si>
  <si>
    <t>[00:30:05-00:30:20][鈴木] 分かりました。</t>
  </si>
  <si>
    <t>[00:30:20-00:30:30][田中] では、本日の会議はこれで終了します。皆さん、お疲れ様でした。次回の定例会議は来週水曜日、同じ時間に行います。</t>
  </si>
  <si>
    <t>[00:30:30-00:30:40][鈴木] お疲れ様でした。</t>
  </si>
  <si>
    <t>[00:30:40-00:30:50][佐藤] お疲れ様でした。</t>
  </si>
  <si>
    <t>[00:30:50-00:31:00][山田] お疲れ様でした。</t>
  </si>
  <si>
    <t>[00:00:08-00:00:45][田中] 皆さん、本日の第一四半期営業レビュー会議を始めます。今日は三つのテーマを扱います。Q1の売上実績の振り返り、Q2のマーケティング戦略の確認、そして下半期に向けた採用計画の審議です。では早速始めましょう。</t>
  </si>
  <si>
    <t>[00:00:45-00:01:00][伊藤] よろしくお願いします。</t>
  </si>
  <si>
    <t>[00:01:00-00:01:15][中村] よろしくお願いします。</t>
  </si>
  <si>
    <t>[00:01:15-00:01:30][小林] よろしくお願いいたします。</t>
  </si>
  <si>
    <t>[00:01:30-00:02:15][田中] まず全体的な数字を共有します。Q1の総売上は四億二千万円で、前年同期比で十二パーセントの増加です。目標達成率は百八パーセントで、四半期として過去最高の達成率を記録しました。素晴らしい結果です。</t>
  </si>
  <si>
    <t>[00:02:15-00:02:40][伊藤] ありがとうございます。営業チーム全員が本当に頑張ってくれました。</t>
  </si>
  <si>
    <t>[00:02:40-00:03:20][田中] では詳細を伊藤さんから報告してください。</t>
  </si>
  <si>
    <t>[00:03:20-00:04:30][伊藤] はい。製品別の内訳ですが、音声認識ライセンスの売上が全体の六十パーセントを占め、前年比で二十パーセント増です。クラウドサービス契約は全体の三十パーセントで、前年比八パーセント増。コンサルティングサービスは全体の十パーセントで、前年比五パーセント増となっています。</t>
  </si>
  <si>
    <t>[00:04:30-00:05:10][田中] 音声認識の伸びが特に大きいですね。新規顧客はどのくらいでしたか？</t>
  </si>
  <si>
    <t>[00:05:10-00:05:55][伊藤] Q1では新規顧客を十五社獲得しました。そのうち七社が製造業、四社がヘルスケア分野、四社がサービス業です。製造業での採用が予想以上に伸びました。これは工場での音声入力システムへの需要が高まっているためです。</t>
  </si>
  <si>
    <t>[00:05:55-00:06:25][中村] 製造業への普及は、昨年から取り組んだ業界特化型マーケティングの成果ですね。</t>
  </si>
  <si>
    <t>[00:06:25-00:07:10][伊藤] そうです。ターゲットを絞ったアプローチが功を奏しました。特に大手製造業の事例を公開したことで、同業他社からの問い合わせが増えました。Q1後半からはインバウンドの商談が全体の四十パーセントを占めるようになっています。</t>
  </si>
  <si>
    <t>[00:07:10-00:07:45][田中] 素晴らしい。インバウンドが増えると営業効率も上がりますね。課題はありましたか？</t>
  </si>
  <si>
    <t>[00:07:45-00:08:40][伊藤] 二点あります。一つ目は競合他社との価格競争です。特に中小企業向けセグメントで、低価格競合製品との差別化が難しくなっています。二つ目は契約から実装までのリードタイムが長いことです。平均で三ヶ月かかっており、顧客から短縮を求める声が増えています。</t>
  </si>
  <si>
    <t>[00:08:40-00:09:10][鈴木] リードタイムについては、実装サポートチームの体制を強化することで改善できると思います。</t>
  </si>
  <si>
    <t>[00:09:10-00:09:45][田中] その点はまた別途議論しましょう。中村さん、Q2のマーケティング戦略を説明してください。</t>
  </si>
  <si>
    <t>[00:09:45-00:10:50][中村] はい。Q2のマーケティング予算は総額五千万円を予定しています。内訳はSNS広告に三千万円、展示会・イベント参加に一千万円、コンテンツマーケティングに五百万円、SEO・SEM施策に五百万円です。</t>
  </si>
  <si>
    <t>[00:10:50-00:11:20][田中] SNS広告に三千万円は昨年より大幅に増えていますね。</t>
  </si>
  <si>
    <t>[00:11:20-00:12:10][中村] はい。昨年の実績データを分析した結果、SNS広告のROIが最も高かったためです。特にLinkedInとYouTubeでのBtoB向けコンテンツが効果的でした。Q2は製造業と医療・ヘルスケア分野に絞ったターゲティング広告を展開します。</t>
  </si>
  <si>
    <t>[00:12:10-00:12:45][伊藤] 展示会はどこに参加しますか？</t>
  </si>
  <si>
    <t>[00:12:45-00:13:30][中村] 六月に東京で開催されるジャパン・AI・サミット、七月の名古屋製造業技術展、八月の大阪医療情報システム展の三つを予定しています。各展示会でデモブースを設置し、営業チームと連携して商談機会を創出します。</t>
  </si>
  <si>
    <t>[00:13:30-00:14:00][田中] コンテンツマーケティングの内容は？</t>
  </si>
  <si>
    <t>[00:14:00-00:14:55][中村] 製造業向けと医療向けの二つの導入事例集を制作します。また、音声AIの最新トレンドをまとめたホワイトペーパーを月二回公開します。これにより、見込み客のナーチャリングを強化します。</t>
  </si>
  <si>
    <t>[00:14:55-00:15:30][佐藤] マーケティング費用のうち、Q2中に確約されている支出はどの程度ですか？予算管理の観点から把握しておきたいです。</t>
  </si>
  <si>
    <t>[00:15:30-00:16:10][中村] 展示会参加費と会場設営費用の合計一千万円は既に確約しています。SNS広告は月次で調整できる変動費です。</t>
  </si>
  <si>
    <t>[00:16:10-00:16:45][田中] 分かりました。では採用計画に移りましょう。小林さん、お願いします。</t>
  </si>
  <si>
    <t>[00:16:45-00:17:50][小林] はい。下半期の採用計画についてです。現在、事業拡大に伴い、エンジニア三名、営業担当二名、カスタマーサポート二名の合計七名の採用を計画しています。採用コストの合計見込みは約三千五百万円です。</t>
  </si>
  <si>
    <t>[00:17:50-00:18:20][田中] 三千五百万円はかなり大きな投資ですね。優先順位はどうなっていますか？</t>
  </si>
  <si>
    <t>[00:18:20-00:19:10][小林] 最優先はエンジニアです。現在の開発チームでは、新規受注案件の実装対応が追いつかなくなりつつあります。次に優先するのは営業担当で、インバウンドリードへの対応強化が目的です。カスタマーサポートは下半期後半に採用開始を予定しています。</t>
  </si>
  <si>
    <t>[00:19:10-00:19:50][鈴木] エンジニアの採用について、希望するスキルセットを事前にすり合わせましょう。音声処理専門のエンジニアが必要なのか、フルスタックで良いのか、によって採用難易度が大きく変わります。</t>
  </si>
  <si>
    <t>[00:19:50-00:20:30][小林] おっしゃる通りです。来週、採用要件の詳細定義のミーティングを設定しましょう。鈴木さんと技術要件の部分を一緒に固めたいと思います。</t>
  </si>
  <si>
    <t>[00:20:30-00:21:00][田中] そうしてください。採用のターゲット完了時期はいつですか？</t>
  </si>
  <si>
    <t>[00:21:00-00:21:50][小林] エンジニア三名は九月末までに採用完了が目標です。営業二名は十月末まで。カスタマーサポートは十二月末を目標にしています。</t>
  </si>
  <si>
    <t>[00:21:50-00:22:20][田中] 採用チャネルはどこを使いますか？</t>
  </si>
  <si>
    <t>[00:22:20-00:23:10][小林] エンジニアはLinkedInと技術系の求人サービスを中心に展開します。エージェントも一社使う予定です。営業はエージェント主体で進め、リファラル採用も積極的に進めます。全社リファラルキャンペーンを来月から始める予定です。</t>
  </si>
  <si>
    <t>[00:23:10-00:23:45][伊藤] リファラルは効果的ですね。特に営業職は社員のリファラルからの質が高いと感じています。</t>
  </si>
  <si>
    <t>[00:23:45-00:24:20][田中] 同感です。リファラルボーナスの条件はどうなっていますか？</t>
  </si>
  <si>
    <t>[00:24:20-00:25:05][小林] 現在は採用完了時に一人当たり三十万円を紹介者に支給しています。今回のキャンペーン期間中は特別に五十万円に引き上げることを提案しています。承認いただければ来月から実施します。</t>
  </si>
  <si>
    <t>[00:25:05-00:25:40][田中] 良いと思います。承認します。インセンティブを上げることで紹介が増えることを期待します。</t>
  </si>
  <si>
    <t>[00:25:40-00:26:10][小林] ありがとうございます。早速準備します。</t>
  </si>
  <si>
    <t>[00:26:10-00:26:50][田中] 採用について一点確認です。現在選考中の候補者はいますか？</t>
  </si>
  <si>
    <t>[00:26:50-00:27:40][小林] はい。エンジニア志望で最終面接まで進んでいる候補者が二名います。来週中に最終判断を予定しています。また、営業職で書類審査中の候補者が五名います。</t>
  </si>
  <si>
    <t>[00:27:40-00:28:10][田中] 良いですね。最終面接の候補者については優先的に進めてください。では、今日のアクションアイテムを確認しましょう。</t>
  </si>
  <si>
    <t>[00:28:10-00:29:00][田中] まず伊藤さん、Q2の営業目標の部門別ブレイクダウンを来週金曜日までに作成してください。製造業とヘルスケアのターゲット企業リストも含めてください。</t>
  </si>
  <si>
    <t>[00:29:00-00:29:20][伊藤] 承知しました。</t>
  </si>
  <si>
    <t>[00:29:20-00:30:05][田中] 中村さん、ジャパン・AI・サミットのブース設計と展示内容の案を来週末までに提出してください。</t>
  </si>
  <si>
    <t>[00:30:05-00:30:20][中村] はい、了解しました。</t>
  </si>
  <si>
    <t>[00:30:20-00:31:05][田中] 小林さん、来週の採用要件定義ミーティングを鈴木さんと設定してください。また、リファラルキャンペーンの詳細案を今週末までに私に共有してください。</t>
  </si>
  <si>
    <t>[00:31:05-00:31:25][小林] 承知しました。</t>
  </si>
  <si>
    <t>[00:31:25-00:32:00][田中] 鈴木さん、来週の採用要件ミーティングへの参加をお願いします。また、リードタイム短縮のための実装サポート体制強化案を月末までにまとめてください。</t>
  </si>
  <si>
    <t>[00:32:00-00:32:20][鈴木] 了解です。</t>
  </si>
  <si>
    <t>[00:32:20-00:33:00][田中] 私からは、Q2の売上目標と評価指標を今週中に全社共有します。また、リファラルキャンペーンのボーナス引き上げを正式承認し、人事部に通知します。</t>
  </si>
  <si>
    <t>[00:33:00-00:33:40][伊藤] 田中さん、一点確認です。Q2の目標は前年比何パーセント成長を想定していますか？Q1の好調を受けて目標が引き上げられるかどうか、チームに周知したいのですが。</t>
  </si>
  <si>
    <t>[00:33:40-00:34:20][田中] Q2は前年比十五パーセント増を目標にしたいと考えています。Q1の達成率から見て達成可能な水準だと判断しています。ただし、最終的な数字は今週中に確定します。</t>
  </si>
  <si>
    <t>[00:34:20-00:34:50][伊藤] 了解です。チームへの目標共有を待ちます。</t>
  </si>
  <si>
    <t>[00:34:50-00:35:25][中村] Q2のマーケティングKPIについてもご確認ください。リード獲得目標は月間五十件、ウェブサイト訪問者数は前月比二十パーセント増を設定する予定です。</t>
  </si>
  <si>
    <t>[00:35:25-00:36:00][田中] 良いと思います。KPIは毎月の定例会議でレビューしましょう。</t>
  </si>
  <si>
    <t>[00:36:00-00:36:40][小林] 採用の進捗についても毎月の会議でアップデートします。採用完了数、面接数、内定承諾率などをレポートします。</t>
  </si>
  <si>
    <t>[00:36:40-00:37:10][田中] ぜひそうしてください。採用は今後の成長において最重要課題の一つです。</t>
  </si>
  <si>
    <t>[00:37:10-00:37:50][伊藤] 競合他社が最近積極的に採用しているようです。優秀な人材の取り合いになっているので、採用のスピードと条件面が重要になってきます。</t>
  </si>
  <si>
    <t>[00:37:50-00:38:30][小林] おっしゃる通りです。特に音声AI分野のエンジニアは市場での争奪戦になっています。内定から入社まで引き留める施策も検討しています。</t>
  </si>
  <si>
    <t>[00:38:30-00:39:00][田中] 処遇面での競争力についても継続的に見直しが必要ですね。</t>
  </si>
  <si>
    <t>[00:39:00-00:39:40][小林] 同業他社の報酬水準調査を半期ごとに実施することを提案しています。次回は七月に実施予定です。結果に基づいて必要があれば報酬テーブルの見直しを行います。</t>
  </si>
  <si>
    <t>[00:39:40-00:40:10][田中] それは良いですね。ぜひ進めてください。</t>
  </si>
  <si>
    <t>[00:40:10-00:40:50][中村] 採用ブランディングについても取り組みたいと考えています。求職者向けの採用サイトのリニューアルと、社員インタビュー動画の制作を検討しています。採用コストの削減にもつながります。</t>
  </si>
  <si>
    <t>[00:40:50-00:41:20][田中] 採用マーケティングは重要ですね。予算規模はどの程度ですか？</t>
  </si>
  <si>
    <t>[00:41:20-00:41:55][中村] 採用サイトリニューアルで約百五十万円、動画制作で五十万円程度を見込んでいます。</t>
  </si>
  <si>
    <t>[00:41:55-00:42:20][田中] 人事予算と調整してください。小林さん、中村さんと連携してください。</t>
  </si>
  <si>
    <t>[00:42:20-00:42:45][小林] はい、連携します。</t>
  </si>
  <si>
    <t>[00:42:45-00:43:30][田中] 本日の会議はこれで終わりにしましょう。Q1の素晴らしい成果を踏まえ、Q2も全力で取り組みましょう。各自アクションアイテムを忘れずに進めてください。</t>
  </si>
  <si>
    <t>[00:43:30-00:44:00][伊藤] ありがとうございました。営業チームを引き続き引っ張っていきます。</t>
  </si>
  <si>
    <t>[00:44:00-00:44:30][中村] マーケティングサポートで全力でバックアップします。</t>
  </si>
  <si>
    <t>[00:44:30-00:45:00][小林] 採用面から会社の成長を支えます。よろしくお願いします。</t>
  </si>
  <si>
    <t>[00:45:00-00:45:10][田中] お疲れ様でした。次回の会議は六月三日です。</t>
  </si>
  <si>
    <t>[00:00:10-00:00:55][田中] 皆さん、本日は新製品「AiVoice Pro」のローンチ計画会議にお集まりいただきありがとうございます。今日は製品概要の最終確認、技術仕様のレビュー、市場投入計画の策定、そしてリスク分析を行います。本製品は我々にとって最大の投資案件ですので、慎重かつ具体的な議論をお願いします。</t>
  </si>
  <si>
    <t>[00:00:55-00:01:15][鈴木] よろしくお願いします。</t>
  </si>
  <si>
    <t>[00:01:15-00:01:30][佐藤] よろしくお願いします。</t>
  </si>
  <si>
    <t>[00:01:30-00:01:45][山田] よろしくお願いします。</t>
  </si>
  <si>
    <t>[00:01:45-00:02:00][松本] よろしくお願いします。</t>
  </si>
  <si>
    <t>[00:02:00-00:03:00][田中] まず、AiVoice Proのポジショニングから確認しましょう。これは単なるバージョンアップではなく、エンタープライズ向けのまったく新しい製品ラインです。現行のAiVoiceシリーズと比較して、処理速度が三倍、認識精度が九十八パーセントと業界最高水準を誇ります。</t>
  </si>
  <si>
    <t>[00:03:00-00:03:40][山田] ターゲット市場について説明します。AiVoice Proのメインターゲットは従業員百名以上の中大企業です。特に、医療、金融、製造業での導入を想定しています。初年度の目標ユーザー数は一千社です。</t>
  </si>
  <si>
    <t>[00:03:40-00:04:15][田中] 一千社は野心的な目標ですね。根拠はありますか？</t>
  </si>
  <si>
    <t>[00:04:15-00:05:10][山田] はい。現行AiVoiceのユーザーベースが約三百社あり、そのうち七十パーセント以上がアップグレードを希望していることが直近のアンケート調査で分かりました。残りは新規獲得を目指します。業界全体での潜在市場は約五千社と試算しています。</t>
  </si>
  <si>
    <t>[00:05:10-00:05:50][田中] 了解しました。では鈴木さん、技術仕様について詳しく説明してください。</t>
  </si>
  <si>
    <t>[00:05:50-00:07:00][鈴木] はい。AiVoice Proの主要技術は三つのコンポーネントで構成されています。一つ目は新型ニューラルネットワークエンジンです。当社独自のトランスフォーマーアーキテクチャをベースに、日本語特化のファインチューニングを施しています。これにより方言や専門用語への対応精度が大幅に向上しました。</t>
  </si>
  <si>
    <t>[00:07:00-00:07:50][鈴木] 二つ目はリアルタイム処理エンジンです。従来比三倍の処理速度を実現するため、新しいGPUクラスタを活用しています。音声入力から文字起こし完了まで平均一秒以内を実現します。三つ目はセキュリティ基盤です。エンタープライズ顧客の要求に応え、オンプレミス対応とエンドツーエンド暗号化を標準実装します。</t>
  </si>
  <si>
    <t>[00:07:50-00:08:20][佐藤] セキュリティ基盤の実装コストはどのくらいかかっていますか？</t>
  </si>
  <si>
    <t>[00:08:20-00:09:05][鈴木] 開発コストは全体の約三十パーセントを占めています。しかし、これが医療や金融分野での採用の決め手になると考えています。コンプライアンス要件が厳しい業界では、セキュリティが最重要の選定基準です。</t>
  </si>
  <si>
    <t>[00:09:05-00:09:40][田中] 対応状況の認定取得はどうなっていますか？</t>
  </si>
  <si>
    <t>[00:09:40-00:10:30][鈴木] 現在、ISO27001の認定取得プロセスを進めています。認定取得予定は八月末です。また、医療情報システムの安全管理ガイドラインへの準拠も完了しており、医療機関向けのドキュメントを準備中です。</t>
  </si>
  <si>
    <t>[00:10:30-00:11:00][山田] セキュリティ認定が揃えば、特に医療分野での商談がスムーズになりますね。</t>
  </si>
  <si>
    <t>[00:11:00-00:11:45][田中] 松本さん、UXデザインについて説明してください。</t>
  </si>
  <si>
    <t>[00:11:45-00:12:45][松本] はい。AiVoice ProのUIは、現行製品と比較して大幅にリニューアルしています。ユーザーインタビューとユーザビリティテストを重ねた結果、操作ステップを平均四十パーセント削減できました。特に注力したのは、非技術者でも直感的に使えるダッシュボードです。管理者向けと一般ユーザー向けで画面を明確に分け、それぞれの役割に最適化されたインターフェースを設計しました。</t>
  </si>
  <si>
    <t>[00:12:45-00:13:15][伊藤] デモを既存顧客に見せた反応はどうでしたか？</t>
  </si>
  <si>
    <t>[00:13:15-00:14:00][松本] 先月実施したプレビューセッションで、参加した十五社から非常に高い評価をいただきました。特に「使いやすさ」と「処理速度」の評価が高く、九十三パーセントの参加者が「現行製品からの乗り換えを検討したい」と回答しました。</t>
  </si>
  <si>
    <t>[00:14:00-00:14:30][田中] 素晴らしい結果ですね。では佐藤さん、価格戦略を説明してください。</t>
  </si>
  <si>
    <t>[00:14:30-00:15:30][佐藤] はい。価格設定は二プランです。ベーシックプランは月額九千八百円で、ユーザー数上限なし、クラウドホスティング、基本サポートが含まれます。プロフェッショナルプランは月額一万九千八百円で、オンプレミス対応、専任サポート、APIアクセス、分析ダッシュボードが含まれます。</t>
  </si>
  <si>
    <t>[00:15:30-00:16:10][田中] 競合他社と比較してどうですか？</t>
  </si>
  <si>
    <t>[00:16:10-00:17:00][佐藤] 主要競合三社と比較すると、ベーシックプランは市場平均より約十パーセント低い設定です。プロフェッショナルプランは市場平均と同水準ですが、機能面では優位にあります。特にオンプレミス対応を標準含んでいる点は、競合他社には見られない特徴です。</t>
  </si>
  <si>
    <t>[00:17:00-00:17:40][山田] 年間契約割引はありますか？既存顧客への移行優遇は検討していますか？</t>
  </si>
  <si>
    <t>[00:17:40-00:18:25][佐藤] 年間一括払いで十五パーセント割引を適用します。既存顧客向けには、移行期間の三ヶ月間を無料期間として提供する移行優遇プログラムを設ける予定です。</t>
  </si>
  <si>
    <t>[00:18:25-00:18:55][田中] 移行優遇は重要ですね。既存顧客の維持が最優先ですから。</t>
  </si>
  <si>
    <t>[00:18:55-00:19:40][佐藤] そうです。既存顧客からの平均年間契約額は現行製品で約八十万円です。AiVoice Proへの移行後は、機能拡張によって平均契約額が百三十万円に増加すると見込んでいます。</t>
  </si>
  <si>
    <t>[00:19:40-00:20:10][田中] 客単価が六十パーセント以上増加するわけですね。それは大きいですね。</t>
  </si>
  <si>
    <t>[00:20:10-00:21:00][佐藤] はい。初年度の売上目標は十二億円を設定しています。一千社獲得の目標と、既存顧客の移行、平均客単価の上昇を組み合わせた数字です。</t>
  </si>
  <si>
    <t>[00:21:00-00:21:30][田中] 十二億円は野心的ですが、達成できると思います。では市場投入計画に移りましょう。山田さん、お願いします。</t>
  </si>
  <si>
    <t>[00:21:30-00:22:30][山田] ローンチ日程についてです。正式リリース日は二〇二六年九月一日を予定しています。それまでのスケジュールは、六月に限定的なクローズドベータ（既存顧客五十社）、七月にオープンベータ（応募制、最大二百社）、八月に製品の最終調整とパートナー向けトレーニング、そして九月一日に正式ローンチとなります。</t>
  </si>
  <si>
    <t>[00:22:30-00:23:00][鈴木] ベータ版の品質目標は何ですか？</t>
  </si>
  <si>
    <t>[00:23:00-00:23:50][山田] クローズドベータでのバグレポート対応率九十九パーセント、アップタイム九十九・九パーセントを維持することが最低条件です。これをクリアしてからオープンベータに移行します。</t>
  </si>
  <si>
    <t>[00:23:50-00:24:30][田中] ローンチ時のプロモーション計画はどうなっていますか？</t>
  </si>
  <si>
    <t>[00:24:30-00:25:30][中村] ローンチイベントを九月一日に東京で開催します。プレスリリースと同時に、主要メディアへのプレゼン、インフルエンサーへのデモ提供を行います。ローンチ後一ヶ月間は集中的にSNS広告を展開します。また、パートナー企業と連携したウェビナーシリーズを月二回開催します。</t>
  </si>
  <si>
    <t>[00:25:30-00:26:00][田中] ローンチイベントの規模はどの程度ですか？</t>
  </si>
  <si>
    <t>[00:26:00-00:26:45][中村] 招待制で約三百名を想定しています。顧客候補、既存顧客、メディア、パートナー企業を招待します。会場は東京都内の大型ホテルを予定しており、費用は約五百万円を見込んでいます。</t>
  </si>
  <si>
    <t>[00:26:45-00:27:20][佐藤] ローンチ関連の総マーケティング予算はどのくらいですか？</t>
  </si>
  <si>
    <t>[00:27:20-00:28:00][中村] ローンチ前後六ヶ月間のマーケティング予算として、合計一億円を見込んでいます。うちローンチイベントに五百万円、広告費に六千万円、コンテンツ制作とPRに三千五百万円です。</t>
  </si>
  <si>
    <t>[00:28:00-00:28:30][田中] それは適切な投資水準だと思います。では最後にリスク分析をお願いします。山田さん。</t>
  </si>
  <si>
    <t>[00:28:30-00:29:30][山田] 主なリスクを三点挙げます。一つ目は開発遅延リスクです。ベータ版で重大な問題が発覚した場合、ローンチが遅れる可能性があります。対策として、七月末時点で判断基準を設け、必要であれば一ヶ月の延期を決断できる体制を整えます。</t>
  </si>
  <si>
    <t>[00:29:30-00:30:20][山田] 二つ目は競合他社の動向リスクです。大手テック企業が同様の製品をローンチする可能性があります。対策として、当社の強みである日本語特化と業界特化のサポート体制を全面に打ち出します。価格だけでなく、品質とサービスで差別化します。</t>
  </si>
  <si>
    <t>[00:30:20-00:31:10][山田] 三つ目は市場受容リスクです。価格設定が高すぎると判断される可能性があります。対策として、ROIを明確に示すケーススタディを事前に準備し、投資対効果を数字で説明できるようにします。</t>
  </si>
  <si>
    <t>[00:31:10-00:31:50][鈴木] 技術的なリスクも追加させてください。大量のユーザーが一度にベータに参加した場合のインフラ負荷のリスクがあります。現在、負荷テストを実施していますが、六月のクローズドベータでの実測データが重要になります。</t>
  </si>
  <si>
    <t>[00:31:50-00:32:20][田中] そのリスクはどう対処しますか？</t>
  </si>
  <si>
    <t>[00:32:20-00:33:00][鈴木] オープンベータの参加企業を段階的に増やす方式にします。最初の二週間は五十社、その後百社、最終的に二百社という形で段階的に拡大します。これにより、問題が発生しても影響を最小化できます。</t>
  </si>
  <si>
    <t>[00:33:00-00:33:30][田中] 賢い対処法ですね。その方式で進めてください。</t>
  </si>
  <si>
    <t>[00:33:30-00:34:20][佐藤] 財務的なリスクも確認させてください。初年度の開発・ローンチ関連の総投資額と、損益分岐点を教えてください。</t>
  </si>
  <si>
    <t>[00:34:20-00:35:20][山田] 総投資額は約三億五千万円です。内訳は開発費が二億円、マーケティング費が一億円、インフラ整備費が五千万円です。損益分岐点は、月額契約で約四百社の獲得です。現在の見込みでは、ローンチ後六ヶ月以内に損益分岐を超えられると想定しています。</t>
  </si>
  <si>
    <t>[00:35:20-00:35:50][佐藤] 六ヶ月での損益分岐は達成可能な水準だと思います。</t>
  </si>
  <si>
    <t>[00:35:50-00:36:30][田中] では今日のアクションアイテムをまとめましょう。鈴木さん、六月のクローズドベータの技術準備と負荷テストを六月一日までに完了させてください。</t>
  </si>
  <si>
    <t>[00:36:30-00:36:45][鈴木] 承知しました。</t>
  </si>
  <si>
    <t>[00:36:45-00:37:25][田中] 佐藤さん、ローンチイベントの会場選定と契約を五月末までに完了させてください。また、初年度の月次財務計画を来週中に作成してください。</t>
  </si>
  <si>
    <t>[00:37:25-00:37:40][佐藤] 了解しました。</t>
  </si>
  <si>
    <t>[00:37:40-00:38:15][田中] 山田さん、クローズドベータの参加顧客五十社の選定とインビテーション送付を今週末までに完了させてください。</t>
  </si>
  <si>
    <t>[00:38:15-00:38:30][山田] 承知しました。</t>
  </si>
  <si>
    <t>[00:38:30-00:39:10][田中] 松本さん、ベータ版のUIフィードバック収集フォームと分析ダッシュボードの設計を来週中に完了させてください。</t>
  </si>
  <si>
    <t>[00:39:10-00:39:25][松本] はい、了解しました。</t>
  </si>
  <si>
    <t>[00:39:25-00:40:05][田中] 中村さん、ローンチイベントの招待リストと案内状の初稿を来週末までに提出してください。</t>
  </si>
  <si>
    <t>[00:40:05-00:40:20][中村] 承知しました。</t>
  </si>
  <si>
    <t>[00:40:20-00:41:00][田中] 私からは、取締役会へのAiVoice Proローンチ計画のプレゼンテーションを来週木曜日に行います。皆さん、今週中に各自の担当部分の一ページサマリーを私に共有してください。</t>
  </si>
  <si>
    <t>[00:41:00-00:41:35][鈴木] 取締役会では技術的な実現可能性の説明が必要になると思います。技術サマリーの準備を協力します。</t>
  </si>
  <si>
    <t>[00:41:35-00:42:00][田中] ありがとうございます。鈴木さんには技術セクションを担当してもらいます。</t>
  </si>
  <si>
    <t>[00:42:00-00:42:40][山田] 競合分析についても追加した方が良いと思います。取締役会ではなぜ今このタイミングでローンチするかの市場背景が重要になります。</t>
  </si>
  <si>
    <t>[00:42:40-00:43:05][田中] 良い点ですね。山田さん、市場分析と競合ポジショニングのスライドを三枚程度用意してください。</t>
  </si>
  <si>
    <t>[00:43:05-00:43:30][山田] 承知しました。</t>
  </si>
  <si>
    <t>[00:43:30-00:44:20][佐藤] 財務サマリーは私が担当します。ROI計算と損益分岐点の分析を含めます。特に投資回収期間と内部収益率を明示します。</t>
  </si>
  <si>
    <t>[00:44:20-00:44:50][田中] ありがとうございます。取締役会の資料は来週火曜日の午前中に私に送ってください。</t>
  </si>
  <si>
    <t>[00:44:50-00:45:30][松本] ユーザー体験についても触れた方が良いでしょうか。競合差別化の観点からUIの特徴を見せることが効果的だと思います。</t>
  </si>
  <si>
    <t>[00:45:30-00:46:00][田中] 良いですね。二分間のデモ動画を用意してください。取締役会でも実際の操作感を見てもらいましょう。</t>
  </si>
  <si>
    <t>[00:46:00-00:46:25][松本] 了解しました。既存のプロトタイプ動画を編集して準備します。</t>
  </si>
  <si>
    <t>[00:46:25-00:47:10][田中] 全体的に計画は順調に進んでいると思います。ただし、九月一日という日程は絶対に守らなければなりません。それに向けて各フェーズの目標を確実にクリアしていきましょう。</t>
  </si>
  <si>
    <t>[00:47:10-00:47:50][鈴木] 開発チームとして、スケジュールを守ることを最優先にします。ただし、品質を犠牲にしたローンチはしたくないので、問題が発生した場合は早めに報告します。</t>
  </si>
  <si>
    <t>[00:47:50-00:48:20][田中] それは正しい姿勢です。問題は早期発見が鍵です。毎週の進捗確認会議を六月から始めましょう。</t>
  </si>
  <si>
    <t>[00:48:20-00:48:55][山田] 会議の頻度は増えますが、それだけの重要プロジェクトですから賛成です。</t>
  </si>
  <si>
    <t>[00:48:55-00:49:30][中村] マーケティング側としても、プロダクトの状況に合わせて施策のタイミングを調整する必要があるので、密な情報共有は助かります。</t>
  </si>
  <si>
    <t>[00:49:30-00:50:00][田中] では毎週木曜日の十五時からAiVoice Pro進捗会議を設定します。全員参加をお願いします。</t>
  </si>
  <si>
    <t>[00:50:00-00:50:30][鈴木] 了解しました。</t>
  </si>
  <si>
    <t>[00:50:30-00:51:10][佐藤] 財務の観点から一点追加させてください。ベータ参加企業への特別価格オファーを準備することを提案します。ベータ参加の対価として、正式リリース後一年間のプロフェッショナルプランを二十パーセント割引にします。これがベータ参加のインセンティブになります。</t>
  </si>
  <si>
    <t>[00:51:10-00:51:45][山田] それは良いアイデアです。顧客側も早期参加のメリットが明確になります。</t>
  </si>
  <si>
    <t>[00:51:45-00:52:15][田中] 承認します。ベータ特別価格オファーを正式なベータプログラムの一部として組み込んでください。</t>
  </si>
  <si>
    <t>[00:52:15-00:52:50][佐藤] 承知しました。利用規約と共に文書化します。</t>
  </si>
  <si>
    <t>[00:52:50-00:53:30][松本] UXに関して一点確認です。モバイルアプリ対応はローンチ時から含まれますか？いくつかの顧客候補からモバイル対応の要望が来ています。</t>
  </si>
  <si>
    <t>[00:53:30-00:54:15][鈴木] モバイルアプリはロードマップに含まれていますが、ローンチ時はウェブブラウザ対応のみです。モバイルアプリは二〇二六年末を予定しています。</t>
  </si>
  <si>
    <t>[00:54:15-00:54:50][松本] 了解です。顧客への説明時に明確に伝えます。ロードマップとしてモバイル対応を約束することで、顧客の期待を管理できます。</t>
  </si>
  <si>
    <t>[00:54:50-00:55:25][田中] 顧客へのコミュニケーション方針として、ロードマップを公開することを検討しましょう。透明性が信頼構築につながります。</t>
  </si>
  <si>
    <t>[00:55:25-00:56:00][山田] 競合他社への情報漏洩リスクも考慮する必要があります。ロードマップの公開範囲については慎重に検討しましょう。</t>
  </si>
  <si>
    <t>[00:56:00-00:56:35][田中] そうですね。登録顧客向けの限定公開という形にしましょう。</t>
  </si>
  <si>
    <t>[00:56:35-00:57:15][鈴木] それが現実的です。ロードマップの詳細は契約顧客のみが閲覧できるポータルで公開する形を提案します。</t>
  </si>
  <si>
    <t>[00:57:15-00:57:45][田中] 良い案です。山田さん、顧客ポータルの機能要件にロードマップ公開機能を追加してください。</t>
  </si>
  <si>
    <t>[00:57:45-00:58:00][山田] 了解しました。</t>
  </si>
  <si>
    <t>[00:58:00-00:58:40][田中] では、本日の会議をまとめます。AiVoice Proは九月一日の正式ローンチを目指します。ベータプログラム、価格戦略、ローンチイベントについて合意が得られました。各自のアクションアイテムを確実に実行してください。来週の進捗共有と取締役会プレゼン資料の準備をよろしくお願いします。</t>
  </si>
  <si>
    <t>[00:58:40-00:59:10][鈴木] 本日はありがとうございました。開発チーム一丸となって取り組みます。</t>
  </si>
  <si>
    <t>[00:59:10-00:59:35][佐藤] 財務面でしっかりサポートします。よろしくお願いします。</t>
  </si>
  <si>
    <t>[00:59:35-01:00:00][山田] プロダクト面でベストを尽くします。本日はありがとうございました。</t>
  </si>
  <si>
    <t>[01:00:00-01:00:10][松本] ありがとうございました。デザインで製品の価値を最大化します。</t>
  </si>
  <si>
    <t>[01:00:10-01:00:20][田中] お疲れ様でした。では解散します。</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</si>
</sst>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4">
    <fill>
      <patternFill patternType="none"/>
    </fill>
    <fill>
      <patternFill patternType="lightGray"/>
    </fill>
    <fill>
      <patternFill patternType="solid">
        <fgColor rgb="FFFFF2CC"/>
        <bgColor rgb="FFFFF2CC"/>
      </patternFill>
    </fill>
    <fill>
      <patternFill patternType="solid">
        <fgColor rgb="FFF4CCCC"/>
        <bgColor rgb="FFF4CCCC"/>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readingOrder="0" shrinkToFit="0" wrapText="1"/>
    </xf>
    <xf borderId="0" fillId="0" fontId="1" numFmtId="0" xfId="0" applyAlignment="1" applyFont="1">
      <alignment readingOrder="0" shrinkToFit="0" wrapText="1"/>
    </xf>
    <xf borderId="0" fillId="0" fontId="1" numFmtId="0" xfId="0" applyAlignment="1" applyFont="1">
      <alignment readingOrder="0"/>
    </xf>
    <xf borderId="0" fillId="2" fontId="1" numFmtId="0" xfId="0" applyAlignment="1" applyFill="1" applyFont="1">
      <alignment horizontal="center" readingOrder="0" shrinkToFit="0" wrapText="1"/>
    </xf>
    <xf borderId="0" fillId="0" fontId="1" numFmtId="0" xfId="0" applyAlignment="1" applyFont="1">
      <alignment shrinkToFit="0" wrapText="1"/>
    </xf>
    <xf borderId="0" fillId="3" fontId="1" numFmtId="0" xfId="0" applyAlignment="1" applyFill="1" applyFont="1">
      <alignment shrinkToFit="0" wrapText="1"/>
    </xf>
    <xf borderId="0" fillId="3"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75"/>
    <col customWidth="1" min="2" max="2" width="46.25"/>
    <col customWidth="1" min="3" max="3" width="26.88"/>
    <col customWidth="1" min="4" max="4" width="36.75"/>
    <col customWidth="1" min="5" max="5" width="36.63"/>
  </cols>
  <sheetData>
    <row r="1">
      <c r="A1" s="1" t="s">
        <v>0</v>
      </c>
    </row>
    <row r="2">
      <c r="A2" s="2" t="s">
        <v>1</v>
      </c>
      <c r="B2" s="2" t="s">
        <v>2</v>
      </c>
      <c r="C2" s="2" t="s">
        <v>3</v>
      </c>
      <c r="D2" s="2" t="s">
        <v>4</v>
      </c>
      <c r="E2" s="3" t="s">
        <v>5</v>
      </c>
    </row>
    <row r="3">
      <c r="A3" s="4" t="s">
        <v>6</v>
      </c>
    </row>
    <row r="4">
      <c r="A4" s="2" t="s">
        <v>7</v>
      </c>
      <c r="B4" s="2" t="s">
        <v>8</v>
      </c>
      <c r="C4" s="5" t="str">
        <f>IFERROR(__xludf.DUMMYFUNCTION("GOOGLETRANSLATE(A4,""ja"",""vi"")"),"Cuộc họp ngày 26 tháng 5 bàn về vấn đề gì?")</f>
        <v>Cuộc họp ngày 26 tháng 5 bàn về vấn đề gì?</v>
      </c>
      <c r="D4" s="5" t="str">
        <f>IFERROR(__xludf.DUMMYFUNCTION("GOOGLETRANSLATE(B4,""ja"",""vi"")"),"Tại cuộc họp ngày 26 tháng 5, các nội dung thảo luận bao gồm tiến độ phát triển hệ thống nhận dạng giọng nói, việc thực hiện ngân sách quý 2 và các biện pháp ứng phó với chính sách năng lượng mới. Cụ thể, các chủ đề được đề cập bao gồm tiến độ của nhóm ph"&amp;"át triển, xem xét việc vượt quá chi phí điện toán đám mây và đóng băng việc tuyển dụng nhân viên hợp đồng, cũng như các kế hoạch ứng phó như giới thiệu hệ thống đo lường mức tiêu thụ năng lượng và lắp đặt các tấm pin mặt trời.")</f>
        <v>Tại cuộc họp ngày 26 tháng 5, các nội dung thảo luận bao gồm tiến độ phát triển hệ thống nhận dạng giọng nói, việc thực hiện ngân sách quý 2 và các biện pháp ứng phó với chính sách năng lượng mới. Cụ thể, các chủ đề được đề cập bao gồm tiến độ của nhóm phát triển, xem xét việc vượt quá chi phí điện toán đám mây và đóng băng việc tuyển dụng nhân viên hợp đồng, cũng như các kế hoạch ứng phó như giới thiệu hệ thống đo lường mức tiêu thụ năng lượng và lắp đặt các tấm pin mặt trời.</v>
      </c>
    </row>
    <row r="5">
      <c r="A5" s="5" t="str">
        <f>IFERROR(__xludf.DUMMYFUNCTION("GOOGLETRANSLATE(C5,""vi"",""ja"")"),"5月26日の会議で、第2四半期の予算はいくらでしたか？")</f>
        <v>5月26日の会議で、第2四半期の予算はいくらでしたか？</v>
      </c>
      <c r="B5" s="2" t="s">
        <v>9</v>
      </c>
      <c r="C5" s="2" t="s">
        <v>10</v>
      </c>
      <c r="D5" s="5" t="str">
        <f>IFERROR(__xludf.DUMMYFUNCTION("GOOGLETRANSLATE(B5,""ja"",""vi"")"),"Tại cuộc họp ngày 26 tháng 5, ngân sách cho quý thứ hai được ấn định ở mức 150 triệu yên.")</f>
        <v>Tại cuộc họp ngày 26 tháng 5, ngân sách cho quý thứ hai được ấn định ở mức 150 triệu yên.</v>
      </c>
    </row>
    <row r="6">
      <c r="A6" s="5" t="str">
        <f>IFERROR(__xludf.DUMMYFUNCTION("GOOGLETRANSLATE(C6,""vi"",""ja"")"),"5月26日の会議で第2四半期の予算について発言したのは誰でしたか？")</f>
        <v>5月26日の会議で第2四半期の予算について発言したのは誰でしたか？</v>
      </c>
      <c r="B6" s="2" t="s">
        <v>11</v>
      </c>
      <c r="C6" s="2" t="s">
        <v>12</v>
      </c>
      <c r="D6" s="5" t="str">
        <f>IFERROR(__xludf.DUMMYFUNCTION("GOOGLETRANSLATE(B6,""ja"",""vi"")"),"Ông Sato là người đã phát biểu về ngân sách quý hai tại cuộc họp ngày 26 tháng 5.")</f>
        <v>Ông Sato là người đã phát biểu về ngân sách quý hai tại cuộc họp ngày 26 tháng 5.</v>
      </c>
    </row>
    <row r="7">
      <c r="A7" s="5" t="str">
        <f>IFERROR(__xludf.DUMMYFUNCTION("GOOGLETRANSLATE(C7,""vi"",""ja"")"),"音声認識プロジェクトについて話し合われた会議はどれですか？")</f>
        <v>音声認識プロジェクトについて話し合われた会議はどれですか？</v>
      </c>
      <c r="B7" s="2" t="s">
        <v>13</v>
      </c>
      <c r="C7" s="2" t="s">
        <v>14</v>
      </c>
      <c r="D7" s="5" t="str">
        <f>IFERROR(__xludf.DUMMYFUNCTION("GOOGLETRANSLATE(B7,""ja"",""vi"")"),"Cuộc họp thảo luận về dự án nhận dạng giọng nói là cuộc họp thường kỳ được tổ chức vào ngày 26 tháng 5 năm 2026. Chương trình nghị sự bao gồm tiến độ phát triển hệ thống nhận dạng giọng nói, các sửa đổi dự kiến ​​đối với chức năng khử nhiễu và phản hồi về"&amp;" chính sách năng lượng mới.")</f>
        <v>Cuộc họp thảo luận về dự án nhận dạng giọng nói là cuộc họp thường kỳ được tổ chức vào ngày 26 tháng 5 năm 2026. Chương trình nghị sự bao gồm tiến độ phát triển hệ thống nhận dạng giọng nói, các sửa đổi dự kiến ​​đối với chức năng khử nhiễu và phản hồi về chính sách năng lượng mới.</v>
      </c>
    </row>
    <row r="8">
      <c r="A8" s="5" t="str">
        <f>IFERROR(__xludf.DUMMYFUNCTION("GOOGLETRANSLATE(C8,""vi"",""ja"")"),"今月は会議が何回ありますか？")</f>
        <v>今月は会議が何回ありますか？</v>
      </c>
      <c r="B8" s="2" t="s">
        <v>15</v>
      </c>
      <c r="C8" s="2" t="s">
        <v>16</v>
      </c>
      <c r="D8" s="5" t="str">
        <f>IFERROR(__xludf.DUMMYFUNCTION("GOOGLETRANSLATE(B8,""ja"",""vi"")"),"Số lượng cuộc họp là 3.")</f>
        <v>Số lượng cuộc họp là 3.</v>
      </c>
    </row>
    <row r="9">
      <c r="A9" s="6" t="str">
        <f>IFERROR(__xludf.DUMMYFUNCTION("GOOGLETRANSLATE(C9,""vi"",""ja"")"),"私がこれまで参加した中で、最も長かった会議は何でしたか？")</f>
        <v>私がこれまで参加した中で、最も長かった会議は何でしたか？</v>
      </c>
      <c r="B9" s="7" t="s">
        <v>17</v>
      </c>
      <c r="C9" s="7" t="s">
        <v>18</v>
      </c>
      <c r="D9" s="6" t="str">
        <f>IFERROR(__xludf.DUMMYFUNCTION("GOOGLETRANSLATE(B9,""ja"",""vi"")"),"Không thể xác định điều này dựa trên thông tin được cung cấp.")</f>
        <v>Không thể xác định điều này dựa trên thông tin được cung cấp.</v>
      </c>
      <c r="E9" s="3" t="s">
        <v>19</v>
      </c>
    </row>
    <row r="10">
      <c r="A10" s="6" t="str">
        <f>IFERROR(__xludf.DUMMYFUNCTION("GOOGLETRANSLATE(C10,""vi"",""ja"")"),"佐藤氏は5月26日の会議で、第2四半期の予算について何分頃に発言しましたか？")</f>
        <v>佐藤氏は5月26日の会議で、第2四半期の予算について何分頃に発言しましたか？</v>
      </c>
      <c r="B10" s="7" t="s">
        <v>20</v>
      </c>
      <c r="C10" s="7" t="s">
        <v>21</v>
      </c>
      <c r="D10" s="6" t="str">
        <f>IFERROR(__xludf.DUMMYFUNCTION("GOOGLETRANSLATE(B10,""ja"",""vi"")"),"Ông Sato đã phát biểu về ngân sách quý 2 tại cuộc họp ngày 26 tháng 5, vào khoảng phút thứ **720**.")</f>
        <v>Ông Sato đã phát biểu về ngân sách quý 2 tại cuộc họp ngày 26 tháng 5, vào khoảng phút thứ **720**.</v>
      </c>
      <c r="E10" s="3" t="s">
        <v>22</v>
      </c>
    </row>
    <row r="11">
      <c r="A11" s="6" t="str">
        <f>IFERROR(__xludf.DUMMYFUNCTION("GOOGLETRANSLATE(C11,""vi"",""ja"")"),"昨日、何か会議はありましたか？")</f>
        <v>昨日、何か会議はありましたか？</v>
      </c>
      <c r="B11" s="7" t="s">
        <v>17</v>
      </c>
      <c r="C11" s="7" t="s">
        <v>23</v>
      </c>
      <c r="D11" s="6" t="str">
        <f>IFERROR(__xludf.DUMMYFUNCTION("GOOGLETRANSLATE(B11,""ja"",""vi"")"),"Không thể xác định điều này dựa trên thông tin được cung cấp.")</f>
        <v>Không thể xác định điều này dựa trên thông tin được cung cấp.</v>
      </c>
      <c r="E11" s="3" t="s">
        <v>24</v>
      </c>
    </row>
    <row r="12">
      <c r="A12" s="1" t="s">
        <v>25</v>
      </c>
    </row>
    <row r="13">
      <c r="A13" s="2" t="s">
        <v>1</v>
      </c>
      <c r="B13" s="2" t="s">
        <v>2</v>
      </c>
      <c r="C13" s="2" t="s">
        <v>3</v>
      </c>
      <c r="D13" s="2" t="s">
        <v>4</v>
      </c>
    </row>
    <row r="14">
      <c r="A14" s="4" t="s">
        <v>6</v>
      </c>
      <c r="E14" s="1"/>
      <c r="I14" s="4" t="s">
        <v>6</v>
      </c>
      <c r="M14" s="4" t="s">
        <v>6</v>
      </c>
      <c r="Q14" s="4" t="s">
        <v>6</v>
      </c>
      <c r="U14" s="4" t="s">
        <v>6</v>
      </c>
    </row>
    <row r="15">
      <c r="A15" s="2" t="s">
        <v>7</v>
      </c>
      <c r="B15" s="2" t="s">
        <v>26</v>
      </c>
      <c r="C15" s="5" t="str">
        <f>IFERROR(__xludf.DUMMYFUNCTION("GOOGLETRANSLATE(A15,""ja"",""vi"")"),"Cuộc họp ngày 26 tháng 5 bàn về vấn đề gì?")</f>
        <v>Cuộc họp ngày 26 tháng 5 bàn về vấn đề gì?</v>
      </c>
      <c r="D15" s="5" t="str">
        <f>IFERROR(__xludf.DUMMYFUNCTION("GOOGLETRANSLATE(B15,""ja"",""vi"")"),"Cuộc họp ngày 26 tháng 5 đã thảo luận về tiến độ phát triển hệ thống nhận dạng giọng nói, việc thực hiện ngân sách quý hai và các biện pháp ứng phó với chính sách năng lượng mới. Cụ thể, các chủ đề được đề cập bao gồm tiến độ giai đoạn thử nghiệm phiên bả"&amp;"n 2.3 của nhóm phát triển, xem xét việc vượt quá chi phí điện toán đám mây và tạm dừng tuyển dụng nhân viên hợp đồng, việc giới thiệu hệ thống đo lường mức tiêu thụ năng lượng, việc lắp đặt tấm pin mặt trời và kế hoạch đào tạo về tiết kiệm năng lượng.")</f>
        <v>Cuộc họp ngày 26 tháng 5 đã thảo luận về tiến độ phát triển hệ thống nhận dạng giọng nói, việc thực hiện ngân sách quý hai và các biện pháp ứng phó với chính sách năng lượng mới. Cụ thể, các chủ đề được đề cập bao gồm tiến độ giai đoạn thử nghiệm phiên bản 2.3 của nhóm phát triển, xem xét việc vượt quá chi phí điện toán đám mây và tạm dừng tuyển dụng nhân viên hợp đồng, việc giới thiệu hệ thống đo lường mức tiêu thụ năng lượng, việc lắp đặt tấm pin mặt trời và kế hoạch đào tạo về tiết kiệm năng lượng.</v>
      </c>
    </row>
    <row r="16">
      <c r="A16" s="5" t="str">
        <f>IFERROR(__xludf.DUMMYFUNCTION("GOOGLETRANSLATE(C16,""vi"",""ja"")"),"5月26日の会議で、第2四半期の予算はいくらでしたか？")</f>
        <v>5月26日の会議で、第2四半期の予算はいくらでしたか？</v>
      </c>
      <c r="B16" s="2" t="s">
        <v>27</v>
      </c>
      <c r="C16" s="2" t="s">
        <v>10</v>
      </c>
      <c r="D16" s="5" t="str">
        <f>IFERROR(__xludf.DUMMYFUNCTION("GOOGLETRANSLATE(B16,""ja"",""vi"")"),"Tại cuộc họp ngày 26 tháng 5, ngân sách cho quý thứ hai được ấn định ở mức 150 triệu yên.")</f>
        <v>Tại cuộc họp ngày 26 tháng 5, ngân sách cho quý thứ hai được ấn định ở mức 150 triệu yên.</v>
      </c>
    </row>
    <row r="17">
      <c r="A17" s="5" t="str">
        <f>IFERROR(__xludf.DUMMYFUNCTION("GOOGLETRANSLATE(C17,""vi"",""ja"")"),"5月26日の会議で第2四半期の予算について発言したのは誰でしたか？")</f>
        <v>5月26日の会議で第2四半期の予算について発言したのは誰でしたか？</v>
      </c>
      <c r="B17" s="2" t="s">
        <v>11</v>
      </c>
      <c r="C17" s="2" t="s">
        <v>12</v>
      </c>
      <c r="D17" s="5" t="str">
        <f>IFERROR(__xludf.DUMMYFUNCTION("GOOGLETRANSLATE(B17,""ja"",""vi"")"),"Ông Sato là người đã phát biểu về ngân sách quý hai tại cuộc họp ngày 26 tháng 5.")</f>
        <v>Ông Sato là người đã phát biểu về ngân sách quý hai tại cuộc họp ngày 26 tháng 5.</v>
      </c>
    </row>
    <row r="18">
      <c r="A18" s="5" t="str">
        <f>IFERROR(__xludf.DUMMYFUNCTION("GOOGLETRANSLATE(C18,""vi"",""ja"")"),"音声認識プロジェクトについて話し合われた会議はどれですか？")</f>
        <v>音声認識プロジェクトについて話し合われた会議はどれですか？</v>
      </c>
      <c r="B18" s="2" t="s">
        <v>28</v>
      </c>
      <c r="C18" s="2" t="s">
        <v>14</v>
      </c>
      <c r="D18" s="5" t="str">
        <f>IFERROR(__xludf.DUMMYFUNCTION("GOOGLETRANSLATE(B18,""ja"",""vi"")"),"Cuộc họp thảo luận về dự án nhận dạng giọng nói là cuộc họp thường kỳ được tổ chức vào ngày 26 tháng 5 năm 2026. Tại cuộc họp này, tiến độ phát triển hệ thống nhận dạng giọng nói, các sửa đổi dự kiến ​​đối với chức năng khử nhiễu và phản hồi đối với chính"&amp;" sách năng lượng mới đã được thảo luận.")</f>
        <v>Cuộc họp thảo luận về dự án nhận dạng giọng nói là cuộc họp thường kỳ được tổ chức vào ngày 26 tháng 5 năm 2026. Tại cuộc họp này, tiến độ phát triển hệ thống nhận dạng giọng nói, các sửa đổi dự kiến ​​đối với chức năng khử nhiễu và phản hồi đối với chính sách năng lượng mới đã được thảo luận.</v>
      </c>
    </row>
    <row r="19">
      <c r="A19" s="5" t="str">
        <f>IFERROR(__xludf.DUMMYFUNCTION("GOOGLETRANSLATE(C19,""vi"",""ja"")"),"今月は会議が何回ありますか？")</f>
        <v>今月は会議が何回ありますか？</v>
      </c>
      <c r="B19" s="2" t="s">
        <v>29</v>
      </c>
      <c r="C19" s="2" t="s">
        <v>16</v>
      </c>
      <c r="D19" s="5" t="str">
        <f>IFERROR(__xludf.DUMMYFUNCTION("GOOGLETRANSLATE(B19,""ja"",""vi"")"),"Có 3 cuộc họp được ghi nhận trong khoảng thời gian từ ngày 1 tháng 5 năm 2026 đến ngày 31 tháng 5 năm 2026.")</f>
        <v>Có 3 cuộc họp được ghi nhận trong khoảng thời gian từ ngày 1 tháng 5 năm 2026 đến ngày 31 tháng 5 năm 2026.</v>
      </c>
    </row>
    <row r="20">
      <c r="A20" s="5" t="str">
        <f>IFERROR(__xludf.DUMMYFUNCTION("GOOGLETRANSLATE(C20,""vi"",""ja"")"),"私がこれまで参加した中で、最も長かった会議は何でしたか？")</f>
        <v>私がこれまで参加した中で、最も長かった会議は何でしたか？</v>
      </c>
      <c r="B20" s="2" t="s">
        <v>30</v>
      </c>
      <c r="C20" s="2" t="s">
        <v>18</v>
      </c>
      <c r="D20" s="5" t="str">
        <f>IFERROR(__xludf.DUMMYFUNCTION("GOOGLETRANSLATE(B20,""ja"",""vi"")"),"Cuộc họp dài nhất được tổ chức vào ngày 15 tháng 5 năm 2026. Cuộc họp kéo dài 3.610 giây (khoảng 1 giờ 10 giây). Tóm tắt: Cuộc họp đã xác nhận kế hoạch ra mắt sản phẩm mới ""AiVoice Pro"" và thảo luận về tổng quan sản phẩm, thông số kỹ thuật, chiến lược t"&amp;"hị trường, giá cả và phân tích rủi ro. Thị trường mục tiêu là các doanh nghiệp vừa và lớn, với mục tiêu 1.000 người dùng trong năm đầu tiên. Về mặt kỹ thuật, sản phẩm đạt tốc độ xử lý nhanh hơn gấp 3 lần và độ chính xác nhận dạng 98%. Giá bán là 9.800 yên"&amp;" cho gói cơ bản và 19.800 yên cho gói chuyên nghiệp. Ngày ra mắt dự kiến ​​là ngày 1 tháng 9 năm 2026. Việc thử nghiệm beta, giảm thiểu rủi ro và các hạng mục hành động đã được xác nhận.")</f>
        <v>Cuộc họp dài nhất được tổ chức vào ngày 15 tháng 5 năm 2026. Cuộc họp kéo dài 3.610 giây (khoảng 1 giờ 10 giây). Tóm tắt: Cuộc họp đã xác nhận kế hoạch ra mắt sản phẩm mới "AiVoice Pro" và thảo luận về tổng quan sản phẩm, thông số kỹ thuật, chiến lược thị trường, giá cả và phân tích rủi ro. Thị trường mục tiêu là các doanh nghiệp vừa và lớn, với mục tiêu 1.000 người dùng trong năm đầu tiên. Về mặt kỹ thuật, sản phẩm đạt tốc độ xử lý nhanh hơn gấp 3 lần và độ chính xác nhận dạng 98%. Giá bán là 9.800 yên cho gói cơ bản và 19.800 yên cho gói chuyên nghiệp. Ngày ra mắt dự kiến ​​là ngày 1 tháng 9 năm 2026. Việc thử nghiệm beta, giảm thiểu rủi ro và các hạng mục hành động đã được xác nhận.</v>
      </c>
      <c r="E20" s="3" t="s">
        <v>31</v>
      </c>
    </row>
    <row r="21">
      <c r="A21" s="5" t="str">
        <f>IFERROR(__xludf.DUMMYFUNCTION("GOOGLETRANSLATE(C21,""vi"",""ja"")"),"佐藤氏は5月26日の会議で、第2四半期の予算について何分頃に発言しましたか？")</f>
        <v>佐藤氏は5月26日の会議で、第2四半期の予算について何分頃に発言しましたか？</v>
      </c>
      <c r="B21" s="2" t="s">
        <v>32</v>
      </c>
      <c r="C21" s="2" t="s">
        <v>21</v>
      </c>
      <c r="D21" s="5" t="str">
        <f>IFERROR(__xludf.DUMMYFUNCTION("GOOGLETRANSLATE(B21,""ja"",""vi"")"),"Ông Sato đã phát biểu về ngân sách quý hai tại cuộc họp ngày 26 tháng 5, vào khoảng phút thứ 12.")</f>
        <v>Ông Sato đã phát biểu về ngân sách quý hai tại cuộc họp ngày 26 tháng 5, vào khoảng phút thứ 12.</v>
      </c>
      <c r="E21" s="3" t="s">
        <v>33</v>
      </c>
    </row>
    <row r="22">
      <c r="A22" s="5" t="str">
        <f>IFERROR(__xludf.DUMMYFUNCTION("GOOGLETRANSLATE(C22,""vi"",""ja"")"),"昨日、何か会議はありましたか？")</f>
        <v>昨日、何か会議はありましたか？</v>
      </c>
      <c r="B22" s="2" t="s">
        <v>34</v>
      </c>
      <c r="C22" s="2" t="s">
        <v>23</v>
      </c>
      <c r="D22" s="5" t="str">
        <f>IFERROR(__xludf.DUMMYFUNCTION("GOOGLETRANSLATE(B22,""ja"",""vi"")"),"Không có cuộc họp nào được ghi nhận vào ngày 27/05/2026.")</f>
        <v>Không có cuộc họp nào được ghi nhận vào ngày 27/05/2026.</v>
      </c>
      <c r="E22" s="3" t="s">
        <v>35</v>
      </c>
    </row>
    <row r="23">
      <c r="A23" s="4" t="s">
        <v>36</v>
      </c>
    </row>
    <row r="24">
      <c r="A24" s="5" t="str">
        <f>IFERROR(__xludf.DUMMYFUNCTION("GOOGLETRANSLATE(C24,""vi"",""ja"")"),"AJカンパニーは何をしていますか？")</f>
        <v>AJカンパニーは何をしていますか？</v>
      </c>
      <c r="B24" s="2" t="s">
        <v>37</v>
      </c>
      <c r="C24" s="2" t="s">
        <v>38</v>
      </c>
      <c r="D24" s="5" t="str">
        <f>IFERROR(__xludf.DUMMYFUNCTION("GOOGLETRANSLATE(B24,""ja"",""vi"")"),"AJ Technologies chuyên phát triển các nền tảng kỹ thuật số sử dụng công nghệ AI và cung cấp giải pháp trong lĩnh vực tài chính và bất động sản/nhà ở. Các lĩnh vực kinh doanh chính của công ty bao gồm dịch vụ nền tảng thế chấp, giải pháp AI, chuyển đổi số "&amp;"bán hàng cho các công ty xây dựng và dịch vụ nhận dạng ký tự quang học (OCR) ""Rakukari ex (AI-OCR)"". Công ty cũng cung cấp nền tảng chuyển đổi số ""Homusun"", tối ưu hóa các hoạt động liên quan đến xây dựng nhà ở, thế chấp và giao tiếp khách hàng.")</f>
        <v>AJ Technologies chuyên phát triển các nền tảng kỹ thuật số sử dụng công nghệ AI và cung cấp giải pháp trong lĩnh vực tài chính và bất động sản/nhà ở. Các lĩnh vực kinh doanh chính của công ty bao gồm dịch vụ nền tảng thế chấp, giải pháp AI, chuyển đổi số bán hàng cho các công ty xây dựng và dịch vụ nhận dạng ký tự quang học (OCR) "Rakukari ex (AI-OCR)". Công ty cũng cung cấp nền tảng chuyển đổi số "Homusun", tối ưu hóa các hoạt động liên quan đến xây dựng nhà ở, thế chấp và giao tiếp khách hàng.</v>
      </c>
    </row>
    <row r="25">
      <c r="A25" s="5"/>
      <c r="B25" s="5"/>
      <c r="C25" s="5"/>
      <c r="D25" s="5"/>
    </row>
    <row r="26">
      <c r="A26" s="5"/>
      <c r="B26" s="5"/>
      <c r="C26" s="5"/>
      <c r="D26" s="5"/>
    </row>
    <row r="27">
      <c r="A27" s="5"/>
      <c r="B27" s="5"/>
      <c r="C27" s="5"/>
      <c r="D27" s="5"/>
    </row>
    <row r="28">
      <c r="A28" s="5"/>
      <c r="B28" s="5"/>
      <c r="C28" s="5"/>
      <c r="D28" s="5"/>
    </row>
    <row r="29">
      <c r="A29" s="5"/>
      <c r="B29" s="5"/>
      <c r="C29" s="5"/>
      <c r="D29" s="5"/>
    </row>
    <row r="30">
      <c r="A30" s="5"/>
      <c r="B30" s="5"/>
      <c r="C30" s="5"/>
      <c r="D30" s="5"/>
    </row>
    <row r="31">
      <c r="A31" s="5"/>
      <c r="B31" s="5"/>
      <c r="C31" s="5"/>
      <c r="D31" s="5"/>
    </row>
    <row r="32">
      <c r="A32" s="5"/>
      <c r="B32" s="5"/>
      <c r="C32" s="5"/>
      <c r="D32" s="5"/>
    </row>
    <row r="33">
      <c r="A33" s="5"/>
      <c r="B33" s="5"/>
      <c r="C33" s="5"/>
      <c r="D33" s="5"/>
    </row>
    <row r="34">
      <c r="A34" s="5"/>
      <c r="B34" s="5"/>
      <c r="C34" s="5"/>
      <c r="D34" s="5"/>
    </row>
    <row r="35">
      <c r="A35" s="5"/>
      <c r="B35" s="5"/>
      <c r="C35" s="5"/>
      <c r="D35" s="5"/>
    </row>
    <row r="36">
      <c r="A36" s="5"/>
      <c r="B36" s="5"/>
      <c r="C36" s="5"/>
      <c r="D36" s="5"/>
    </row>
    <row r="37">
      <c r="A37" s="5"/>
      <c r="B37" s="5"/>
      <c r="C37" s="5"/>
      <c r="D37" s="5"/>
    </row>
    <row r="38">
      <c r="A38" s="5"/>
      <c r="B38" s="5"/>
      <c r="C38" s="5"/>
      <c r="D38" s="5"/>
    </row>
    <row r="39">
      <c r="A39" s="5"/>
      <c r="B39" s="5"/>
      <c r="C39" s="5"/>
      <c r="D39" s="5"/>
    </row>
    <row r="40">
      <c r="A40" s="5"/>
      <c r="B40" s="5"/>
      <c r="C40" s="5"/>
      <c r="D40" s="5"/>
    </row>
    <row r="41">
      <c r="A41" s="5"/>
      <c r="B41" s="5"/>
      <c r="C41" s="5"/>
      <c r="D41" s="5"/>
    </row>
    <row r="42">
      <c r="A42" s="5"/>
      <c r="B42" s="5"/>
      <c r="C42" s="5"/>
      <c r="D42" s="5"/>
    </row>
    <row r="43">
      <c r="A43" s="5"/>
      <c r="B43" s="5"/>
      <c r="C43" s="5"/>
      <c r="D43" s="5"/>
    </row>
    <row r="44">
      <c r="A44" s="5"/>
      <c r="B44" s="5"/>
      <c r="C44" s="5"/>
      <c r="D44" s="5"/>
    </row>
    <row r="45">
      <c r="A45" s="5"/>
      <c r="B45" s="5"/>
      <c r="C45" s="5"/>
      <c r="D45" s="5"/>
    </row>
    <row r="46">
      <c r="A46" s="5"/>
      <c r="B46" s="5"/>
      <c r="C46" s="5"/>
      <c r="D46" s="5"/>
    </row>
    <row r="47">
      <c r="A47" s="5"/>
      <c r="B47" s="5"/>
      <c r="C47" s="5"/>
      <c r="D47" s="5"/>
    </row>
    <row r="48">
      <c r="A48" s="5"/>
      <c r="B48" s="5"/>
      <c r="C48" s="5"/>
      <c r="D48" s="5"/>
    </row>
    <row r="49">
      <c r="A49" s="5"/>
      <c r="B49" s="5"/>
      <c r="C49" s="5"/>
      <c r="D49" s="5"/>
    </row>
    <row r="50">
      <c r="A50" s="5"/>
      <c r="B50" s="5"/>
      <c r="C50" s="5"/>
      <c r="D50" s="5"/>
    </row>
    <row r="51">
      <c r="A51" s="5"/>
      <c r="B51" s="5"/>
      <c r="C51" s="5"/>
      <c r="D51" s="5"/>
    </row>
    <row r="52">
      <c r="A52" s="5"/>
      <c r="B52" s="5"/>
      <c r="C52" s="5"/>
      <c r="D52" s="5"/>
    </row>
    <row r="53">
      <c r="A53" s="5"/>
      <c r="B53" s="5"/>
      <c r="C53" s="5"/>
      <c r="D53" s="5"/>
    </row>
    <row r="54">
      <c r="A54" s="5"/>
      <c r="B54" s="5"/>
      <c r="C54" s="5"/>
      <c r="D54" s="5"/>
    </row>
    <row r="55">
      <c r="A55" s="5"/>
      <c r="B55" s="5"/>
      <c r="C55" s="5"/>
      <c r="D55" s="5"/>
    </row>
    <row r="56">
      <c r="A56" s="5"/>
      <c r="B56" s="5"/>
      <c r="C56" s="5"/>
      <c r="D56" s="5"/>
    </row>
    <row r="57">
      <c r="A57" s="5"/>
      <c r="B57" s="5"/>
      <c r="C57" s="5"/>
      <c r="D57" s="5"/>
    </row>
    <row r="58">
      <c r="A58" s="5"/>
      <c r="B58" s="5"/>
      <c r="C58" s="5"/>
      <c r="D58" s="5"/>
    </row>
    <row r="59">
      <c r="A59" s="5"/>
      <c r="B59" s="5"/>
      <c r="C59" s="5"/>
      <c r="D59" s="5"/>
    </row>
    <row r="60">
      <c r="A60" s="5"/>
      <c r="B60" s="5"/>
      <c r="C60" s="5"/>
      <c r="D60" s="5"/>
    </row>
    <row r="61">
      <c r="A61" s="5"/>
      <c r="B61" s="5"/>
      <c r="C61" s="5"/>
      <c r="D61" s="5"/>
    </row>
    <row r="62">
      <c r="A62" s="5"/>
      <c r="B62" s="5"/>
      <c r="C62" s="5"/>
      <c r="D62" s="5"/>
    </row>
    <row r="63">
      <c r="A63" s="5"/>
      <c r="B63" s="5"/>
      <c r="C63" s="5"/>
      <c r="D63" s="5"/>
    </row>
    <row r="64">
      <c r="A64" s="5"/>
      <c r="B64" s="5"/>
      <c r="C64" s="5"/>
      <c r="D64" s="5"/>
    </row>
    <row r="65">
      <c r="A65" s="5"/>
      <c r="B65" s="5"/>
      <c r="C65" s="5"/>
      <c r="D65" s="5"/>
    </row>
    <row r="66">
      <c r="A66" s="5"/>
      <c r="B66" s="5"/>
      <c r="C66" s="5"/>
      <c r="D66" s="5"/>
    </row>
    <row r="67">
      <c r="A67" s="5"/>
      <c r="B67" s="5"/>
      <c r="C67" s="5"/>
      <c r="D67" s="5"/>
    </row>
    <row r="68">
      <c r="A68" s="5"/>
      <c r="B68" s="5"/>
      <c r="C68" s="5"/>
      <c r="D68" s="5"/>
    </row>
    <row r="69">
      <c r="A69" s="5"/>
      <c r="B69" s="5"/>
      <c r="C69" s="5"/>
      <c r="D69" s="5"/>
    </row>
    <row r="70">
      <c r="A70" s="5"/>
      <c r="B70" s="5"/>
      <c r="C70" s="5"/>
      <c r="D70" s="5"/>
    </row>
    <row r="71">
      <c r="A71" s="5"/>
      <c r="B71" s="5"/>
      <c r="C71" s="5"/>
      <c r="D71" s="5"/>
    </row>
    <row r="72">
      <c r="A72" s="5"/>
      <c r="B72" s="5"/>
      <c r="C72" s="5"/>
      <c r="D72" s="5"/>
    </row>
    <row r="73">
      <c r="A73" s="5"/>
      <c r="B73" s="5"/>
      <c r="C73" s="5"/>
      <c r="D73" s="5"/>
    </row>
    <row r="74">
      <c r="A74" s="5"/>
      <c r="B74" s="5"/>
      <c r="C74" s="5"/>
      <c r="D74" s="5"/>
    </row>
    <row r="75">
      <c r="A75" s="5"/>
      <c r="B75" s="5"/>
      <c r="C75" s="5"/>
      <c r="D75" s="5"/>
    </row>
    <row r="76">
      <c r="A76" s="5"/>
      <c r="B76" s="5"/>
      <c r="C76" s="5"/>
      <c r="D76" s="5"/>
    </row>
    <row r="77">
      <c r="A77" s="5"/>
      <c r="B77" s="5"/>
      <c r="C77" s="5"/>
      <c r="D77" s="5"/>
    </row>
    <row r="78">
      <c r="A78" s="5"/>
      <c r="B78" s="5"/>
      <c r="C78" s="5"/>
      <c r="D78" s="5"/>
    </row>
    <row r="79">
      <c r="A79" s="5"/>
      <c r="B79" s="5"/>
      <c r="C79" s="5"/>
      <c r="D79" s="5"/>
    </row>
    <row r="80">
      <c r="A80" s="5"/>
      <c r="B80" s="5"/>
      <c r="C80" s="5"/>
      <c r="D80" s="5"/>
    </row>
    <row r="81">
      <c r="A81" s="5"/>
      <c r="B81" s="5"/>
      <c r="C81" s="5"/>
      <c r="D81" s="5"/>
    </row>
    <row r="82">
      <c r="A82" s="5"/>
      <c r="B82" s="5"/>
      <c r="C82" s="5"/>
      <c r="D82" s="5"/>
    </row>
    <row r="83">
      <c r="A83" s="5"/>
      <c r="B83" s="5"/>
      <c r="C83" s="5"/>
      <c r="D83" s="5"/>
    </row>
    <row r="84">
      <c r="A84" s="5"/>
      <c r="B84" s="5"/>
      <c r="C84" s="5"/>
      <c r="D84" s="5"/>
    </row>
    <row r="85">
      <c r="A85" s="5"/>
      <c r="B85" s="5"/>
      <c r="C85" s="5"/>
      <c r="D85" s="5"/>
    </row>
    <row r="86">
      <c r="A86" s="5"/>
      <c r="B86" s="5"/>
      <c r="C86" s="5"/>
      <c r="D86" s="5"/>
    </row>
    <row r="87">
      <c r="A87" s="5"/>
      <c r="B87" s="5"/>
      <c r="C87" s="5"/>
      <c r="D87" s="5"/>
    </row>
    <row r="88">
      <c r="A88" s="5"/>
      <c r="B88" s="5"/>
      <c r="C88" s="5"/>
      <c r="D88" s="5"/>
    </row>
    <row r="89">
      <c r="A89" s="5"/>
      <c r="B89" s="5"/>
      <c r="C89" s="5"/>
      <c r="D89" s="5"/>
    </row>
    <row r="90">
      <c r="A90" s="5"/>
      <c r="B90" s="5"/>
      <c r="C90" s="5"/>
      <c r="D90" s="5"/>
    </row>
    <row r="91">
      <c r="A91" s="5"/>
      <c r="B91" s="5"/>
      <c r="C91" s="5"/>
      <c r="D91" s="5"/>
    </row>
    <row r="92">
      <c r="A92" s="5"/>
      <c r="B92" s="5"/>
      <c r="C92" s="5"/>
      <c r="D92" s="5"/>
    </row>
    <row r="93">
      <c r="A93" s="5"/>
      <c r="B93" s="5"/>
      <c r="C93" s="5"/>
      <c r="D93" s="5"/>
    </row>
    <row r="94">
      <c r="A94" s="5"/>
      <c r="B94" s="5"/>
      <c r="C94" s="5"/>
      <c r="D94" s="5"/>
    </row>
    <row r="95">
      <c r="A95" s="5"/>
      <c r="B95" s="5"/>
      <c r="C95" s="5"/>
      <c r="D95" s="5"/>
    </row>
    <row r="96">
      <c r="A96" s="5"/>
      <c r="B96" s="5"/>
      <c r="C96" s="5"/>
      <c r="D96" s="5"/>
    </row>
    <row r="97">
      <c r="A97" s="5"/>
      <c r="B97" s="5"/>
      <c r="C97" s="5"/>
      <c r="D97" s="5"/>
    </row>
    <row r="98">
      <c r="A98" s="5"/>
      <c r="B98" s="5"/>
      <c r="C98" s="5"/>
      <c r="D98" s="5"/>
    </row>
    <row r="99">
      <c r="A99" s="5"/>
      <c r="B99" s="5"/>
      <c r="C99" s="5"/>
      <c r="D99" s="5"/>
    </row>
    <row r="100">
      <c r="A100" s="5"/>
      <c r="B100" s="5"/>
      <c r="C100" s="5"/>
      <c r="D100" s="5"/>
    </row>
    <row r="101">
      <c r="A101" s="5"/>
      <c r="B101" s="5"/>
      <c r="C101" s="5"/>
      <c r="D101" s="5"/>
    </row>
    <row r="102">
      <c r="A102" s="5"/>
      <c r="B102" s="5"/>
      <c r="C102" s="5"/>
      <c r="D102" s="5"/>
    </row>
    <row r="103">
      <c r="A103" s="5"/>
      <c r="B103" s="5"/>
      <c r="C103" s="5"/>
      <c r="D103" s="5"/>
    </row>
    <row r="104">
      <c r="A104" s="5"/>
      <c r="B104" s="5"/>
      <c r="C104" s="5"/>
      <c r="D104" s="5"/>
    </row>
    <row r="105">
      <c r="A105" s="5"/>
      <c r="B105" s="5"/>
      <c r="C105" s="5"/>
      <c r="D105" s="5"/>
    </row>
    <row r="106">
      <c r="A106" s="5"/>
      <c r="B106" s="5"/>
      <c r="C106" s="5"/>
      <c r="D106" s="5"/>
    </row>
    <row r="107">
      <c r="A107" s="5"/>
      <c r="B107" s="5"/>
      <c r="C107" s="5"/>
      <c r="D107" s="5"/>
    </row>
    <row r="108">
      <c r="A108" s="5"/>
      <c r="B108" s="5"/>
      <c r="C108" s="5"/>
      <c r="D108" s="5"/>
    </row>
    <row r="109">
      <c r="A109" s="5"/>
      <c r="B109" s="5"/>
      <c r="C109" s="5"/>
      <c r="D109" s="5"/>
    </row>
    <row r="110">
      <c r="A110" s="5"/>
      <c r="B110" s="5"/>
      <c r="C110" s="5"/>
      <c r="D110" s="5"/>
    </row>
    <row r="111">
      <c r="A111" s="5"/>
      <c r="B111" s="5"/>
      <c r="C111" s="5"/>
      <c r="D111" s="5"/>
    </row>
    <row r="112">
      <c r="A112" s="5"/>
      <c r="B112" s="5"/>
      <c r="C112" s="5"/>
      <c r="D112" s="5"/>
    </row>
    <row r="113">
      <c r="A113" s="5"/>
      <c r="B113" s="5"/>
      <c r="C113" s="5"/>
      <c r="D113" s="5"/>
    </row>
    <row r="114">
      <c r="A114" s="5"/>
      <c r="B114" s="5"/>
      <c r="C114" s="5"/>
      <c r="D114" s="5"/>
    </row>
    <row r="115">
      <c r="A115" s="5"/>
      <c r="B115" s="5"/>
      <c r="C115" s="5"/>
      <c r="D115" s="5"/>
    </row>
    <row r="116">
      <c r="A116" s="5"/>
      <c r="B116" s="5"/>
      <c r="C116" s="5"/>
      <c r="D116" s="5"/>
    </row>
    <row r="117">
      <c r="A117" s="5"/>
      <c r="B117" s="5"/>
      <c r="C117" s="5"/>
      <c r="D117" s="5"/>
    </row>
    <row r="118">
      <c r="A118" s="5"/>
      <c r="B118" s="5"/>
      <c r="C118" s="5"/>
      <c r="D118" s="5"/>
    </row>
    <row r="119">
      <c r="A119" s="5"/>
      <c r="B119" s="5"/>
      <c r="C119" s="5"/>
      <c r="D119" s="5"/>
    </row>
    <row r="120">
      <c r="A120" s="5"/>
      <c r="B120" s="5"/>
      <c r="C120" s="5"/>
      <c r="D120" s="5"/>
    </row>
    <row r="121">
      <c r="A121" s="5"/>
      <c r="B121" s="5"/>
      <c r="C121" s="5"/>
      <c r="D121" s="5"/>
    </row>
    <row r="122">
      <c r="A122" s="5"/>
      <c r="B122" s="5"/>
      <c r="C122" s="5"/>
      <c r="D122" s="5"/>
    </row>
    <row r="123">
      <c r="A123" s="5"/>
      <c r="B123" s="5"/>
      <c r="C123" s="5"/>
      <c r="D123" s="5"/>
    </row>
    <row r="124">
      <c r="A124" s="5"/>
      <c r="B124" s="5"/>
      <c r="C124" s="5"/>
      <c r="D124" s="5"/>
    </row>
    <row r="125">
      <c r="A125" s="5"/>
      <c r="B125" s="5"/>
      <c r="C125" s="5"/>
      <c r="D125" s="5"/>
    </row>
    <row r="126">
      <c r="A126" s="5"/>
      <c r="B126" s="5"/>
      <c r="C126" s="5"/>
      <c r="D126" s="5"/>
    </row>
    <row r="127">
      <c r="A127" s="5"/>
      <c r="B127" s="5"/>
      <c r="C127" s="5"/>
      <c r="D127" s="5"/>
    </row>
    <row r="128">
      <c r="A128" s="5"/>
      <c r="B128" s="5"/>
      <c r="C128" s="5"/>
      <c r="D128" s="5"/>
    </row>
    <row r="129">
      <c r="A129" s="5"/>
      <c r="B129" s="5"/>
      <c r="C129" s="5"/>
      <c r="D129" s="5"/>
    </row>
    <row r="130">
      <c r="A130" s="5"/>
      <c r="B130" s="5"/>
      <c r="C130" s="5"/>
      <c r="D130" s="5"/>
    </row>
    <row r="131">
      <c r="A131" s="5"/>
      <c r="B131" s="5"/>
      <c r="C131" s="5"/>
      <c r="D131" s="5"/>
    </row>
    <row r="132">
      <c r="A132" s="5"/>
      <c r="B132" s="5"/>
      <c r="C132" s="5"/>
      <c r="D132" s="5"/>
    </row>
    <row r="133">
      <c r="A133" s="5"/>
      <c r="B133" s="5"/>
      <c r="C133" s="5"/>
      <c r="D133" s="5"/>
    </row>
    <row r="134">
      <c r="A134" s="5"/>
      <c r="B134" s="5"/>
      <c r="C134" s="5"/>
      <c r="D134" s="5"/>
    </row>
    <row r="135">
      <c r="A135" s="5"/>
      <c r="B135" s="5"/>
      <c r="C135" s="5"/>
      <c r="D135" s="5"/>
    </row>
    <row r="136">
      <c r="A136" s="5"/>
      <c r="B136" s="5"/>
      <c r="C136" s="5"/>
      <c r="D136" s="5"/>
    </row>
    <row r="137">
      <c r="A137" s="5"/>
      <c r="B137" s="5"/>
      <c r="C137" s="5"/>
      <c r="D137" s="5"/>
    </row>
    <row r="138">
      <c r="A138" s="5"/>
      <c r="B138" s="5"/>
      <c r="C138" s="5"/>
      <c r="D138" s="5"/>
    </row>
    <row r="139">
      <c r="A139" s="5"/>
      <c r="B139" s="5"/>
      <c r="C139" s="5"/>
      <c r="D139" s="5"/>
    </row>
    <row r="140">
      <c r="A140" s="5"/>
      <c r="B140" s="5"/>
      <c r="C140" s="5"/>
      <c r="D140" s="5"/>
    </row>
    <row r="141">
      <c r="A141" s="5"/>
      <c r="B141" s="5"/>
      <c r="C141" s="5"/>
      <c r="D141" s="5"/>
    </row>
    <row r="142">
      <c r="A142" s="5"/>
      <c r="B142" s="5"/>
      <c r="C142" s="5"/>
      <c r="D142" s="5"/>
    </row>
    <row r="143">
      <c r="A143" s="5"/>
      <c r="B143" s="5"/>
      <c r="C143" s="5"/>
      <c r="D143" s="5"/>
    </row>
    <row r="144">
      <c r="A144" s="5"/>
      <c r="B144" s="5"/>
      <c r="C144" s="5"/>
      <c r="D144" s="5"/>
    </row>
    <row r="145">
      <c r="A145" s="5"/>
      <c r="B145" s="5"/>
      <c r="C145" s="5"/>
      <c r="D145" s="5"/>
    </row>
    <row r="146">
      <c r="A146" s="5"/>
      <c r="B146" s="5"/>
      <c r="C146" s="5"/>
      <c r="D146" s="5"/>
    </row>
    <row r="147">
      <c r="A147" s="5"/>
      <c r="B147" s="5"/>
      <c r="C147" s="5"/>
      <c r="D147" s="5"/>
    </row>
    <row r="148">
      <c r="A148" s="5"/>
      <c r="B148" s="5"/>
      <c r="C148" s="5"/>
      <c r="D148" s="5"/>
    </row>
    <row r="149">
      <c r="A149" s="5"/>
      <c r="B149" s="5"/>
      <c r="C149" s="5"/>
      <c r="D149" s="5"/>
    </row>
    <row r="150">
      <c r="A150" s="5"/>
      <c r="B150" s="5"/>
      <c r="C150" s="5"/>
      <c r="D150" s="5"/>
    </row>
    <row r="151">
      <c r="A151" s="5"/>
      <c r="B151" s="5"/>
      <c r="C151" s="5"/>
      <c r="D151" s="5"/>
    </row>
    <row r="152">
      <c r="A152" s="5"/>
      <c r="B152" s="5"/>
      <c r="C152" s="5"/>
      <c r="D152" s="5"/>
    </row>
    <row r="153">
      <c r="A153" s="5"/>
      <c r="B153" s="5"/>
      <c r="C153" s="5"/>
      <c r="D153" s="5"/>
    </row>
    <row r="154">
      <c r="A154" s="5"/>
      <c r="B154" s="5"/>
      <c r="C154" s="5"/>
      <c r="D154" s="5"/>
    </row>
    <row r="155">
      <c r="A155" s="5"/>
      <c r="B155" s="5"/>
      <c r="C155" s="5"/>
      <c r="D155" s="5"/>
    </row>
    <row r="156">
      <c r="A156" s="5"/>
      <c r="B156" s="5"/>
      <c r="C156" s="5"/>
      <c r="D156" s="5"/>
    </row>
    <row r="157">
      <c r="A157" s="5"/>
      <c r="B157" s="5"/>
      <c r="C157" s="5"/>
      <c r="D157" s="5"/>
    </row>
    <row r="158">
      <c r="A158" s="5"/>
      <c r="B158" s="5"/>
      <c r="C158" s="5"/>
      <c r="D158" s="5"/>
    </row>
    <row r="159">
      <c r="A159" s="5"/>
      <c r="B159" s="5"/>
      <c r="C159" s="5"/>
      <c r="D159" s="5"/>
    </row>
    <row r="160">
      <c r="A160" s="5"/>
      <c r="B160" s="5"/>
      <c r="C160" s="5"/>
      <c r="D160" s="5"/>
    </row>
    <row r="161">
      <c r="A161" s="5"/>
      <c r="B161" s="5"/>
      <c r="C161" s="5"/>
      <c r="D161" s="5"/>
    </row>
    <row r="162">
      <c r="A162" s="5"/>
      <c r="B162" s="5"/>
      <c r="C162" s="5"/>
      <c r="D162" s="5"/>
    </row>
    <row r="163">
      <c r="A163" s="5"/>
      <c r="B163" s="5"/>
      <c r="C163" s="5"/>
      <c r="D163" s="5"/>
    </row>
    <row r="164">
      <c r="A164" s="5"/>
      <c r="B164" s="5"/>
      <c r="C164" s="5"/>
      <c r="D164" s="5"/>
    </row>
    <row r="165">
      <c r="A165" s="5"/>
      <c r="B165" s="5"/>
      <c r="C165" s="5"/>
      <c r="D165" s="5"/>
    </row>
    <row r="166">
      <c r="A166" s="5"/>
      <c r="B166" s="5"/>
      <c r="C166" s="5"/>
      <c r="D166" s="5"/>
    </row>
    <row r="167">
      <c r="A167" s="5"/>
      <c r="B167" s="5"/>
      <c r="C167" s="5"/>
      <c r="D167" s="5"/>
    </row>
    <row r="168">
      <c r="A168" s="5"/>
      <c r="B168" s="5"/>
      <c r="C168" s="5"/>
      <c r="D168" s="5"/>
    </row>
    <row r="169">
      <c r="A169" s="5"/>
      <c r="B169" s="5"/>
      <c r="C169" s="5"/>
      <c r="D169" s="5"/>
    </row>
    <row r="170">
      <c r="A170" s="5"/>
      <c r="B170" s="5"/>
      <c r="C170" s="5"/>
      <c r="D170" s="5"/>
    </row>
    <row r="171">
      <c r="A171" s="5"/>
      <c r="B171" s="5"/>
      <c r="C171" s="5"/>
      <c r="D171" s="5"/>
    </row>
    <row r="172">
      <c r="A172" s="5"/>
      <c r="B172" s="5"/>
      <c r="C172" s="5"/>
      <c r="D172" s="5"/>
    </row>
    <row r="173">
      <c r="A173" s="5"/>
      <c r="B173" s="5"/>
      <c r="C173" s="5"/>
      <c r="D173" s="5"/>
    </row>
    <row r="174">
      <c r="A174" s="5"/>
      <c r="B174" s="5"/>
      <c r="C174" s="5"/>
      <c r="D174" s="5"/>
    </row>
    <row r="175">
      <c r="A175" s="5"/>
      <c r="B175" s="5"/>
      <c r="C175" s="5"/>
      <c r="D175" s="5"/>
    </row>
    <row r="176">
      <c r="A176" s="5"/>
      <c r="B176" s="5"/>
      <c r="C176" s="5"/>
      <c r="D176" s="5"/>
    </row>
    <row r="177">
      <c r="A177" s="5"/>
      <c r="B177" s="5"/>
      <c r="C177" s="5"/>
      <c r="D177" s="5"/>
    </row>
    <row r="178">
      <c r="A178" s="5"/>
      <c r="B178" s="5"/>
      <c r="C178" s="5"/>
      <c r="D178" s="5"/>
    </row>
    <row r="179">
      <c r="A179" s="5"/>
      <c r="B179" s="5"/>
      <c r="C179" s="5"/>
      <c r="D179" s="5"/>
    </row>
    <row r="180">
      <c r="A180" s="5"/>
      <c r="B180" s="5"/>
      <c r="C180" s="5"/>
      <c r="D180" s="5"/>
    </row>
    <row r="181">
      <c r="A181" s="5"/>
      <c r="B181" s="5"/>
      <c r="C181" s="5"/>
      <c r="D181" s="5"/>
    </row>
    <row r="182">
      <c r="A182" s="5"/>
      <c r="B182" s="5"/>
      <c r="C182" s="5"/>
      <c r="D182" s="5"/>
    </row>
    <row r="183">
      <c r="A183" s="5"/>
      <c r="B183" s="5"/>
      <c r="C183" s="5"/>
      <c r="D183" s="5"/>
    </row>
    <row r="184">
      <c r="A184" s="5"/>
      <c r="B184" s="5"/>
      <c r="C184" s="5"/>
      <c r="D184" s="5"/>
    </row>
    <row r="185">
      <c r="A185" s="5"/>
      <c r="B185" s="5"/>
      <c r="C185" s="5"/>
      <c r="D185" s="5"/>
    </row>
    <row r="186">
      <c r="A186" s="5"/>
      <c r="B186" s="5"/>
      <c r="C186" s="5"/>
      <c r="D186" s="5"/>
    </row>
    <row r="187">
      <c r="A187" s="5"/>
      <c r="B187" s="5"/>
      <c r="C187" s="5"/>
      <c r="D187" s="5"/>
    </row>
    <row r="188">
      <c r="A188" s="5"/>
      <c r="B188" s="5"/>
      <c r="C188" s="5"/>
      <c r="D188" s="5"/>
    </row>
    <row r="189">
      <c r="A189" s="5"/>
      <c r="B189" s="5"/>
      <c r="C189" s="5"/>
      <c r="D189" s="5"/>
    </row>
    <row r="190">
      <c r="A190" s="5"/>
      <c r="B190" s="5"/>
      <c r="C190" s="5"/>
      <c r="D190" s="5"/>
    </row>
    <row r="191">
      <c r="A191" s="5"/>
      <c r="B191" s="5"/>
      <c r="C191" s="5"/>
      <c r="D191" s="5"/>
    </row>
    <row r="192">
      <c r="A192" s="5"/>
      <c r="B192" s="5"/>
      <c r="C192" s="5"/>
      <c r="D192" s="5"/>
    </row>
    <row r="193">
      <c r="A193" s="5"/>
      <c r="B193" s="5"/>
      <c r="C193" s="5"/>
      <c r="D193" s="5"/>
    </row>
    <row r="194">
      <c r="A194" s="5"/>
      <c r="B194" s="5"/>
      <c r="C194" s="5"/>
      <c r="D194" s="5"/>
    </row>
    <row r="195">
      <c r="A195" s="5"/>
      <c r="B195" s="5"/>
      <c r="C195" s="5"/>
      <c r="D195" s="5"/>
    </row>
    <row r="196">
      <c r="A196" s="5"/>
      <c r="B196" s="5"/>
      <c r="C196" s="5"/>
      <c r="D196" s="5"/>
    </row>
    <row r="197">
      <c r="A197" s="5"/>
      <c r="B197" s="5"/>
      <c r="C197" s="5"/>
      <c r="D197" s="5"/>
    </row>
    <row r="198">
      <c r="A198" s="5"/>
      <c r="B198" s="5"/>
      <c r="C198" s="5"/>
      <c r="D198" s="5"/>
    </row>
    <row r="199">
      <c r="A199" s="5"/>
      <c r="B199" s="5"/>
      <c r="C199" s="5"/>
      <c r="D199" s="5"/>
    </row>
    <row r="200">
      <c r="A200" s="5"/>
      <c r="B200" s="5"/>
      <c r="C200" s="5"/>
      <c r="D200" s="5"/>
    </row>
    <row r="201">
      <c r="A201" s="5"/>
      <c r="B201" s="5"/>
      <c r="C201" s="5"/>
      <c r="D201" s="5"/>
    </row>
    <row r="202">
      <c r="A202" s="5"/>
      <c r="B202" s="5"/>
      <c r="C202" s="5"/>
      <c r="D202" s="5"/>
    </row>
    <row r="203">
      <c r="A203" s="5"/>
      <c r="B203" s="5"/>
      <c r="C203" s="5"/>
      <c r="D203" s="5"/>
    </row>
    <row r="204">
      <c r="A204" s="5"/>
      <c r="B204" s="5"/>
      <c r="C204" s="5"/>
      <c r="D204" s="5"/>
    </row>
    <row r="205">
      <c r="A205" s="5"/>
      <c r="B205" s="5"/>
      <c r="C205" s="5"/>
      <c r="D205" s="5"/>
    </row>
    <row r="206">
      <c r="A206" s="5"/>
      <c r="B206" s="5"/>
      <c r="C206" s="5"/>
      <c r="D206" s="5"/>
    </row>
    <row r="207">
      <c r="A207" s="5"/>
      <c r="B207" s="5"/>
      <c r="C207" s="5"/>
      <c r="D207" s="5"/>
    </row>
    <row r="208">
      <c r="A208" s="5"/>
      <c r="B208" s="5"/>
      <c r="C208" s="5"/>
      <c r="D208" s="5"/>
    </row>
    <row r="209">
      <c r="A209" s="5"/>
      <c r="B209" s="5"/>
      <c r="C209" s="5"/>
      <c r="D209" s="5"/>
    </row>
    <row r="210">
      <c r="A210" s="5"/>
      <c r="B210" s="5"/>
      <c r="C210" s="5"/>
      <c r="D210" s="5"/>
    </row>
    <row r="211">
      <c r="A211" s="5"/>
      <c r="B211" s="5"/>
      <c r="C211" s="5"/>
      <c r="D211" s="5"/>
    </row>
    <row r="212">
      <c r="A212" s="5"/>
      <c r="B212" s="5"/>
      <c r="C212" s="5"/>
      <c r="D212" s="5"/>
    </row>
    <row r="213">
      <c r="A213" s="5"/>
      <c r="B213" s="5"/>
      <c r="C213" s="5"/>
      <c r="D213" s="5"/>
    </row>
    <row r="214">
      <c r="A214" s="5"/>
      <c r="B214" s="5"/>
      <c r="C214" s="5"/>
      <c r="D214" s="5"/>
    </row>
    <row r="215">
      <c r="A215" s="5"/>
      <c r="B215" s="5"/>
      <c r="C215" s="5"/>
      <c r="D215" s="5"/>
    </row>
    <row r="216">
      <c r="A216" s="5"/>
      <c r="B216" s="5"/>
      <c r="C216" s="5"/>
      <c r="D216" s="5"/>
    </row>
    <row r="217">
      <c r="A217" s="5"/>
      <c r="B217" s="5"/>
      <c r="C217" s="5"/>
      <c r="D217" s="5"/>
    </row>
    <row r="218">
      <c r="A218" s="5"/>
      <c r="B218" s="5"/>
      <c r="C218" s="5"/>
      <c r="D218" s="5"/>
    </row>
    <row r="219">
      <c r="A219" s="5"/>
      <c r="B219" s="5"/>
      <c r="C219" s="5"/>
      <c r="D219" s="5"/>
    </row>
    <row r="220">
      <c r="A220" s="5"/>
      <c r="B220" s="5"/>
      <c r="C220" s="5"/>
      <c r="D220" s="5"/>
    </row>
    <row r="221">
      <c r="A221" s="5"/>
      <c r="B221" s="5"/>
      <c r="C221" s="5"/>
      <c r="D221" s="5"/>
    </row>
    <row r="222">
      <c r="A222" s="5"/>
      <c r="B222" s="5"/>
      <c r="C222" s="5"/>
      <c r="D222" s="5"/>
    </row>
    <row r="223">
      <c r="A223" s="5"/>
      <c r="B223" s="5"/>
      <c r="C223" s="5"/>
      <c r="D223" s="5"/>
    </row>
    <row r="224">
      <c r="A224" s="5"/>
      <c r="B224" s="5"/>
      <c r="C224" s="5"/>
      <c r="D224" s="5"/>
    </row>
    <row r="225">
      <c r="A225" s="5"/>
      <c r="B225" s="5"/>
      <c r="C225" s="5"/>
      <c r="D225" s="5"/>
    </row>
    <row r="226">
      <c r="A226" s="5"/>
      <c r="B226" s="5"/>
      <c r="C226" s="5"/>
      <c r="D226" s="5"/>
    </row>
    <row r="227">
      <c r="A227" s="5"/>
      <c r="B227" s="5"/>
      <c r="C227" s="5"/>
      <c r="D227" s="5"/>
    </row>
    <row r="228">
      <c r="A228" s="5"/>
      <c r="B228" s="5"/>
      <c r="C228" s="5"/>
      <c r="D228" s="5"/>
    </row>
    <row r="229">
      <c r="A229" s="5"/>
      <c r="B229" s="5"/>
      <c r="C229" s="5"/>
      <c r="D229" s="5"/>
    </row>
    <row r="230">
      <c r="A230" s="5"/>
      <c r="B230" s="5"/>
      <c r="C230" s="5"/>
      <c r="D230" s="5"/>
    </row>
    <row r="231">
      <c r="A231" s="5"/>
      <c r="B231" s="5"/>
      <c r="C231" s="5"/>
      <c r="D231" s="5"/>
    </row>
    <row r="232">
      <c r="A232" s="5"/>
      <c r="B232" s="5"/>
      <c r="C232" s="5"/>
      <c r="D232" s="5"/>
    </row>
    <row r="233">
      <c r="A233" s="5"/>
      <c r="B233" s="5"/>
      <c r="C233" s="5"/>
      <c r="D233" s="5"/>
    </row>
    <row r="234">
      <c r="A234" s="5"/>
      <c r="B234" s="5"/>
      <c r="C234" s="5"/>
      <c r="D234" s="5"/>
    </row>
    <row r="235">
      <c r="A235" s="5"/>
      <c r="B235" s="5"/>
      <c r="C235" s="5"/>
      <c r="D235" s="5"/>
    </row>
    <row r="236">
      <c r="A236" s="5"/>
      <c r="B236" s="5"/>
      <c r="C236" s="5"/>
      <c r="D236" s="5"/>
    </row>
    <row r="237">
      <c r="A237" s="5"/>
      <c r="B237" s="5"/>
      <c r="C237" s="5"/>
      <c r="D237" s="5"/>
    </row>
    <row r="238">
      <c r="A238" s="5"/>
      <c r="B238" s="5"/>
      <c r="C238" s="5"/>
      <c r="D238" s="5"/>
    </row>
    <row r="239">
      <c r="A239" s="5"/>
      <c r="B239" s="5"/>
      <c r="C239" s="5"/>
      <c r="D239" s="5"/>
    </row>
    <row r="240">
      <c r="A240" s="5"/>
      <c r="B240" s="5"/>
      <c r="C240" s="5"/>
      <c r="D240" s="5"/>
    </row>
    <row r="241">
      <c r="A241" s="5"/>
      <c r="B241" s="5"/>
      <c r="C241" s="5"/>
      <c r="D241" s="5"/>
    </row>
    <row r="242">
      <c r="A242" s="5"/>
      <c r="B242" s="5"/>
      <c r="C242" s="5"/>
      <c r="D242" s="5"/>
    </row>
    <row r="243">
      <c r="A243" s="5"/>
      <c r="B243" s="5"/>
      <c r="C243" s="5"/>
      <c r="D243" s="5"/>
    </row>
    <row r="244">
      <c r="A244" s="5"/>
      <c r="B244" s="5"/>
      <c r="C244" s="5"/>
      <c r="D244" s="5"/>
    </row>
    <row r="245">
      <c r="A245" s="5"/>
      <c r="B245" s="5"/>
      <c r="C245" s="5"/>
      <c r="D245" s="5"/>
    </row>
    <row r="246">
      <c r="A246" s="5"/>
      <c r="B246" s="5"/>
      <c r="C246" s="5"/>
      <c r="D246" s="5"/>
    </row>
    <row r="247">
      <c r="A247" s="5"/>
      <c r="B247" s="5"/>
      <c r="C247" s="5"/>
      <c r="D247" s="5"/>
    </row>
    <row r="248">
      <c r="A248" s="5"/>
      <c r="B248" s="5"/>
      <c r="C248" s="5"/>
      <c r="D248" s="5"/>
    </row>
    <row r="249">
      <c r="A249" s="5"/>
      <c r="B249" s="5"/>
      <c r="C249" s="5"/>
      <c r="D249" s="5"/>
    </row>
    <row r="250">
      <c r="A250" s="5"/>
      <c r="B250" s="5"/>
      <c r="C250" s="5"/>
      <c r="D250" s="5"/>
    </row>
    <row r="251">
      <c r="A251" s="5"/>
      <c r="B251" s="5"/>
      <c r="C251" s="5"/>
      <c r="D251" s="5"/>
    </row>
    <row r="252">
      <c r="A252" s="5"/>
      <c r="B252" s="5"/>
      <c r="C252" s="5"/>
      <c r="D252" s="5"/>
    </row>
    <row r="253">
      <c r="A253" s="5"/>
      <c r="B253" s="5"/>
      <c r="C253" s="5"/>
      <c r="D253" s="5"/>
    </row>
    <row r="254">
      <c r="A254" s="5"/>
      <c r="B254" s="5"/>
      <c r="C254" s="5"/>
      <c r="D254" s="5"/>
    </row>
    <row r="255">
      <c r="A255" s="5"/>
      <c r="B255" s="5"/>
      <c r="C255" s="5"/>
      <c r="D255" s="5"/>
    </row>
    <row r="256">
      <c r="A256" s="5"/>
      <c r="B256" s="5"/>
      <c r="C256" s="5"/>
      <c r="D256" s="5"/>
    </row>
    <row r="257">
      <c r="A257" s="5"/>
      <c r="B257" s="5"/>
      <c r="C257" s="5"/>
      <c r="D257" s="5"/>
    </row>
    <row r="258">
      <c r="A258" s="5"/>
      <c r="B258" s="5"/>
      <c r="C258" s="5"/>
      <c r="D258" s="5"/>
    </row>
    <row r="259">
      <c r="A259" s="5"/>
      <c r="B259" s="5"/>
      <c r="C259" s="5"/>
      <c r="D259" s="5"/>
    </row>
    <row r="260">
      <c r="A260" s="5"/>
      <c r="B260" s="5"/>
      <c r="C260" s="5"/>
      <c r="D260" s="5"/>
    </row>
    <row r="261">
      <c r="A261" s="5"/>
      <c r="B261" s="5"/>
      <c r="C261" s="5"/>
      <c r="D261" s="5"/>
    </row>
    <row r="262">
      <c r="A262" s="5"/>
      <c r="B262" s="5"/>
      <c r="C262" s="5"/>
      <c r="D262" s="5"/>
    </row>
    <row r="263">
      <c r="A263" s="5"/>
      <c r="B263" s="5"/>
      <c r="C263" s="5"/>
      <c r="D263" s="5"/>
    </row>
    <row r="264">
      <c r="A264" s="5"/>
      <c r="B264" s="5"/>
      <c r="C264" s="5"/>
      <c r="D264" s="5"/>
    </row>
    <row r="265">
      <c r="A265" s="5"/>
      <c r="B265" s="5"/>
      <c r="C265" s="5"/>
      <c r="D265" s="5"/>
    </row>
    <row r="266">
      <c r="A266" s="5"/>
      <c r="B266" s="5"/>
      <c r="C266" s="5"/>
      <c r="D266" s="5"/>
    </row>
    <row r="267">
      <c r="A267" s="5"/>
      <c r="B267" s="5"/>
      <c r="C267" s="5"/>
      <c r="D267" s="5"/>
    </row>
    <row r="268">
      <c r="A268" s="5"/>
      <c r="B268" s="5"/>
      <c r="C268" s="5"/>
      <c r="D268" s="5"/>
    </row>
    <row r="269">
      <c r="A269" s="5"/>
      <c r="B269" s="5"/>
      <c r="C269" s="5"/>
      <c r="D269" s="5"/>
    </row>
    <row r="270">
      <c r="A270" s="5"/>
      <c r="B270" s="5"/>
      <c r="C270" s="5"/>
      <c r="D270" s="5"/>
    </row>
    <row r="271">
      <c r="A271" s="5"/>
      <c r="B271" s="5"/>
      <c r="C271" s="5"/>
      <c r="D271" s="5"/>
    </row>
    <row r="272">
      <c r="A272" s="5"/>
      <c r="B272" s="5"/>
      <c r="C272" s="5"/>
      <c r="D272" s="5"/>
    </row>
    <row r="273">
      <c r="A273" s="5"/>
      <c r="B273" s="5"/>
      <c r="C273" s="5"/>
      <c r="D273" s="5"/>
    </row>
    <row r="274">
      <c r="A274" s="5"/>
      <c r="B274" s="5"/>
      <c r="C274" s="5"/>
      <c r="D274" s="5"/>
    </row>
    <row r="275">
      <c r="A275" s="5"/>
      <c r="B275" s="5"/>
      <c r="C275" s="5"/>
      <c r="D275" s="5"/>
    </row>
    <row r="276">
      <c r="A276" s="5"/>
      <c r="B276" s="5"/>
      <c r="C276" s="5"/>
      <c r="D276" s="5"/>
    </row>
    <row r="277">
      <c r="A277" s="5"/>
      <c r="B277" s="5"/>
      <c r="C277" s="5"/>
      <c r="D277" s="5"/>
    </row>
    <row r="278">
      <c r="A278" s="5"/>
      <c r="B278" s="5"/>
      <c r="C278" s="5"/>
      <c r="D278" s="5"/>
    </row>
    <row r="279">
      <c r="A279" s="5"/>
      <c r="B279" s="5"/>
      <c r="C279" s="5"/>
      <c r="D279" s="5"/>
    </row>
    <row r="280">
      <c r="A280" s="5"/>
      <c r="B280" s="5"/>
      <c r="C280" s="5"/>
      <c r="D280" s="5"/>
    </row>
    <row r="281">
      <c r="A281" s="5"/>
      <c r="B281" s="5"/>
      <c r="C281" s="5"/>
      <c r="D281" s="5"/>
    </row>
    <row r="282">
      <c r="A282" s="5"/>
      <c r="B282" s="5"/>
      <c r="C282" s="5"/>
      <c r="D282" s="5"/>
    </row>
    <row r="283">
      <c r="A283" s="5"/>
      <c r="B283" s="5"/>
      <c r="C283" s="5"/>
      <c r="D283" s="5"/>
    </row>
    <row r="284">
      <c r="A284" s="5"/>
      <c r="B284" s="5"/>
      <c r="C284" s="5"/>
      <c r="D284" s="5"/>
    </row>
    <row r="285">
      <c r="A285" s="5"/>
      <c r="B285" s="5"/>
      <c r="C285" s="5"/>
      <c r="D285" s="5"/>
    </row>
    <row r="286">
      <c r="A286" s="5"/>
      <c r="B286" s="5"/>
      <c r="C286" s="5"/>
      <c r="D286" s="5"/>
    </row>
    <row r="287">
      <c r="A287" s="5"/>
      <c r="B287" s="5"/>
      <c r="C287" s="5"/>
      <c r="D287" s="5"/>
    </row>
    <row r="288">
      <c r="A288" s="5"/>
      <c r="B288" s="5"/>
      <c r="C288" s="5"/>
      <c r="D288" s="5"/>
    </row>
    <row r="289">
      <c r="A289" s="5"/>
      <c r="B289" s="5"/>
      <c r="C289" s="5"/>
      <c r="D289" s="5"/>
    </row>
    <row r="290">
      <c r="A290" s="5"/>
      <c r="B290" s="5"/>
      <c r="C290" s="5"/>
      <c r="D290" s="5"/>
    </row>
    <row r="291">
      <c r="A291" s="5"/>
      <c r="B291" s="5"/>
      <c r="C291" s="5"/>
      <c r="D291" s="5"/>
    </row>
    <row r="292">
      <c r="A292" s="5"/>
      <c r="B292" s="5"/>
      <c r="C292" s="5"/>
      <c r="D292" s="5"/>
    </row>
    <row r="293">
      <c r="A293" s="5"/>
      <c r="B293" s="5"/>
      <c r="C293" s="5"/>
      <c r="D293" s="5"/>
    </row>
    <row r="294">
      <c r="A294" s="5"/>
      <c r="B294" s="5"/>
      <c r="C294" s="5"/>
      <c r="D294" s="5"/>
    </row>
    <row r="295">
      <c r="A295" s="5"/>
      <c r="B295" s="5"/>
      <c r="C295" s="5"/>
      <c r="D295" s="5"/>
    </row>
    <row r="296">
      <c r="A296" s="5"/>
      <c r="B296" s="5"/>
      <c r="C296" s="5"/>
      <c r="D296" s="5"/>
    </row>
    <row r="297">
      <c r="A297" s="5"/>
      <c r="B297" s="5"/>
      <c r="C297" s="5"/>
      <c r="D297" s="5"/>
    </row>
    <row r="298">
      <c r="A298" s="5"/>
      <c r="B298" s="5"/>
      <c r="C298" s="5"/>
      <c r="D298" s="5"/>
    </row>
    <row r="299">
      <c r="A299" s="5"/>
      <c r="B299" s="5"/>
      <c r="C299" s="5"/>
      <c r="D299" s="5"/>
    </row>
    <row r="300">
      <c r="A300" s="5"/>
      <c r="B300" s="5"/>
      <c r="C300" s="5"/>
      <c r="D300" s="5"/>
    </row>
    <row r="301">
      <c r="A301" s="5"/>
      <c r="B301" s="5"/>
      <c r="C301" s="5"/>
      <c r="D301" s="5"/>
    </row>
    <row r="302">
      <c r="A302" s="5"/>
      <c r="B302" s="5"/>
      <c r="C302" s="5"/>
      <c r="D302" s="5"/>
    </row>
    <row r="303">
      <c r="A303" s="5"/>
      <c r="B303" s="5"/>
      <c r="C303" s="5"/>
      <c r="D303" s="5"/>
    </row>
    <row r="304">
      <c r="A304" s="5"/>
      <c r="B304" s="5"/>
      <c r="C304" s="5"/>
      <c r="D304" s="5"/>
    </row>
    <row r="305">
      <c r="A305" s="5"/>
      <c r="B305" s="5"/>
      <c r="C305" s="5"/>
      <c r="D305" s="5"/>
    </row>
    <row r="306">
      <c r="A306" s="5"/>
      <c r="B306" s="5"/>
      <c r="C306" s="5"/>
      <c r="D306" s="5"/>
    </row>
    <row r="307">
      <c r="A307" s="5"/>
      <c r="B307" s="5"/>
      <c r="C307" s="5"/>
      <c r="D307" s="5"/>
    </row>
    <row r="308">
      <c r="A308" s="5"/>
      <c r="B308" s="5"/>
      <c r="C308" s="5"/>
      <c r="D308" s="5"/>
    </row>
    <row r="309">
      <c r="A309" s="5"/>
      <c r="B309" s="5"/>
      <c r="C309" s="5"/>
      <c r="D309" s="5"/>
    </row>
    <row r="310">
      <c r="A310" s="5"/>
      <c r="B310" s="5"/>
      <c r="C310" s="5"/>
      <c r="D310" s="5"/>
    </row>
    <row r="311">
      <c r="A311" s="5"/>
      <c r="B311" s="5"/>
      <c r="C311" s="5"/>
      <c r="D311" s="5"/>
    </row>
    <row r="312">
      <c r="A312" s="5"/>
      <c r="B312" s="5"/>
      <c r="C312" s="5"/>
      <c r="D312" s="5"/>
    </row>
    <row r="313">
      <c r="A313" s="5"/>
      <c r="B313" s="5"/>
      <c r="C313" s="5"/>
      <c r="D313" s="5"/>
    </row>
    <row r="314">
      <c r="A314" s="5"/>
      <c r="B314" s="5"/>
      <c r="C314" s="5"/>
      <c r="D314" s="5"/>
    </row>
    <row r="315">
      <c r="A315" s="5"/>
      <c r="B315" s="5"/>
      <c r="C315" s="5"/>
      <c r="D315" s="5"/>
    </row>
    <row r="316">
      <c r="A316" s="5"/>
      <c r="B316" s="5"/>
      <c r="C316" s="5"/>
      <c r="D316" s="5"/>
    </row>
    <row r="317">
      <c r="A317" s="5"/>
      <c r="B317" s="5"/>
      <c r="C317" s="5"/>
      <c r="D317" s="5"/>
    </row>
    <row r="318">
      <c r="A318" s="5"/>
      <c r="B318" s="5"/>
      <c r="C318" s="5"/>
      <c r="D318" s="5"/>
    </row>
    <row r="319">
      <c r="A319" s="5"/>
      <c r="B319" s="5"/>
      <c r="C319" s="5"/>
      <c r="D319" s="5"/>
    </row>
    <row r="320">
      <c r="A320" s="5"/>
      <c r="B320" s="5"/>
      <c r="C320" s="5"/>
      <c r="D320" s="5"/>
    </row>
    <row r="321">
      <c r="A321" s="5"/>
      <c r="B321" s="5"/>
      <c r="C321" s="5"/>
      <c r="D321" s="5"/>
    </row>
    <row r="322">
      <c r="A322" s="5"/>
      <c r="B322" s="5"/>
      <c r="C322" s="5"/>
      <c r="D322" s="5"/>
    </row>
    <row r="323">
      <c r="A323" s="5"/>
      <c r="B323" s="5"/>
      <c r="C323" s="5"/>
      <c r="D323" s="5"/>
    </row>
    <row r="324">
      <c r="A324" s="5"/>
      <c r="B324" s="5"/>
      <c r="C324" s="5"/>
      <c r="D324" s="5"/>
    </row>
    <row r="325">
      <c r="A325" s="5"/>
      <c r="B325" s="5"/>
      <c r="C325" s="5"/>
      <c r="D325" s="5"/>
    </row>
    <row r="326">
      <c r="A326" s="5"/>
      <c r="B326" s="5"/>
      <c r="C326" s="5"/>
      <c r="D326" s="5"/>
    </row>
    <row r="327">
      <c r="A327" s="5"/>
      <c r="B327" s="5"/>
      <c r="C327" s="5"/>
      <c r="D327" s="5"/>
    </row>
    <row r="328">
      <c r="A328" s="5"/>
      <c r="B328" s="5"/>
      <c r="C328" s="5"/>
      <c r="D328" s="5"/>
    </row>
    <row r="329">
      <c r="A329" s="5"/>
      <c r="B329" s="5"/>
      <c r="C329" s="5"/>
      <c r="D329" s="5"/>
    </row>
    <row r="330">
      <c r="A330" s="5"/>
      <c r="B330" s="5"/>
      <c r="C330" s="5"/>
      <c r="D330" s="5"/>
    </row>
    <row r="331">
      <c r="A331" s="5"/>
      <c r="B331" s="5"/>
      <c r="C331" s="5"/>
      <c r="D331" s="5"/>
    </row>
    <row r="332">
      <c r="A332" s="5"/>
      <c r="B332" s="5"/>
      <c r="C332" s="5"/>
      <c r="D332" s="5"/>
    </row>
    <row r="333">
      <c r="A333" s="5"/>
      <c r="B333" s="5"/>
      <c r="C333" s="5"/>
      <c r="D333" s="5"/>
    </row>
    <row r="334">
      <c r="A334" s="5"/>
      <c r="B334" s="5"/>
      <c r="C334" s="5"/>
      <c r="D334" s="5"/>
    </row>
    <row r="335">
      <c r="A335" s="5"/>
      <c r="B335" s="5"/>
      <c r="C335" s="5"/>
      <c r="D335" s="5"/>
    </row>
    <row r="336">
      <c r="A336" s="5"/>
      <c r="B336" s="5"/>
      <c r="C336" s="5"/>
      <c r="D336" s="5"/>
    </row>
    <row r="337">
      <c r="A337" s="5"/>
      <c r="B337" s="5"/>
      <c r="C337" s="5"/>
      <c r="D337" s="5"/>
    </row>
    <row r="338">
      <c r="A338" s="5"/>
      <c r="B338" s="5"/>
      <c r="C338" s="5"/>
      <c r="D338" s="5"/>
    </row>
    <row r="339">
      <c r="A339" s="5"/>
      <c r="B339" s="5"/>
      <c r="C339" s="5"/>
      <c r="D339" s="5"/>
    </row>
    <row r="340">
      <c r="A340" s="5"/>
      <c r="B340" s="5"/>
      <c r="C340" s="5"/>
      <c r="D340" s="5"/>
    </row>
    <row r="341">
      <c r="A341" s="5"/>
      <c r="B341" s="5"/>
      <c r="C341" s="5"/>
      <c r="D341" s="5"/>
    </row>
    <row r="342">
      <c r="A342" s="5"/>
      <c r="B342" s="5"/>
      <c r="C342" s="5"/>
      <c r="D342" s="5"/>
    </row>
    <row r="343">
      <c r="A343" s="5"/>
      <c r="B343" s="5"/>
      <c r="C343" s="5"/>
      <c r="D343" s="5"/>
    </row>
    <row r="344">
      <c r="A344" s="5"/>
      <c r="B344" s="5"/>
      <c r="C344" s="5"/>
      <c r="D344" s="5"/>
    </row>
    <row r="345">
      <c r="A345" s="5"/>
      <c r="B345" s="5"/>
      <c r="C345" s="5"/>
      <c r="D345" s="5"/>
    </row>
    <row r="346">
      <c r="A346" s="5"/>
      <c r="B346" s="5"/>
      <c r="C346" s="5"/>
      <c r="D346" s="5"/>
    </row>
    <row r="347">
      <c r="A347" s="5"/>
      <c r="B347" s="5"/>
      <c r="C347" s="5"/>
      <c r="D347" s="5"/>
    </row>
    <row r="348">
      <c r="A348" s="5"/>
      <c r="B348" s="5"/>
      <c r="C348" s="5"/>
      <c r="D348" s="5"/>
    </row>
    <row r="349">
      <c r="A349" s="5"/>
      <c r="B349" s="5"/>
      <c r="C349" s="5"/>
      <c r="D349" s="5"/>
    </row>
    <row r="350">
      <c r="A350" s="5"/>
      <c r="B350" s="5"/>
      <c r="C350" s="5"/>
      <c r="D350" s="5"/>
    </row>
    <row r="351">
      <c r="A351" s="5"/>
      <c r="B351" s="5"/>
      <c r="C351" s="5"/>
      <c r="D351" s="5"/>
    </row>
    <row r="352">
      <c r="A352" s="5"/>
      <c r="B352" s="5"/>
      <c r="C352" s="5"/>
      <c r="D352" s="5"/>
    </row>
    <row r="353">
      <c r="A353" s="5"/>
      <c r="B353" s="5"/>
      <c r="C353" s="5"/>
      <c r="D353" s="5"/>
    </row>
    <row r="354">
      <c r="A354" s="5"/>
      <c r="B354" s="5"/>
      <c r="C354" s="5"/>
      <c r="D354" s="5"/>
    </row>
    <row r="355">
      <c r="A355" s="5"/>
      <c r="B355" s="5"/>
      <c r="C355" s="5"/>
      <c r="D355" s="5"/>
    </row>
    <row r="356">
      <c r="A356" s="5"/>
      <c r="B356" s="5"/>
      <c r="C356" s="5"/>
      <c r="D356" s="5"/>
    </row>
    <row r="357">
      <c r="A357" s="5"/>
      <c r="B357" s="5"/>
      <c r="C357" s="5"/>
      <c r="D357" s="5"/>
    </row>
    <row r="358">
      <c r="A358" s="5"/>
      <c r="B358" s="5"/>
      <c r="C358" s="5"/>
      <c r="D358" s="5"/>
    </row>
    <row r="359">
      <c r="A359" s="5"/>
      <c r="B359" s="5"/>
      <c r="C359" s="5"/>
      <c r="D359" s="5"/>
    </row>
    <row r="360">
      <c r="A360" s="5"/>
      <c r="B360" s="5"/>
      <c r="C360" s="5"/>
      <c r="D360" s="5"/>
    </row>
    <row r="361">
      <c r="A361" s="5"/>
      <c r="B361" s="5"/>
      <c r="C361" s="5"/>
      <c r="D361" s="5"/>
    </row>
    <row r="362">
      <c r="A362" s="5"/>
      <c r="B362" s="5"/>
      <c r="C362" s="5"/>
      <c r="D362" s="5"/>
    </row>
    <row r="363">
      <c r="A363" s="5"/>
      <c r="B363" s="5"/>
      <c r="C363" s="5"/>
      <c r="D363" s="5"/>
    </row>
    <row r="364">
      <c r="A364" s="5"/>
      <c r="B364" s="5"/>
      <c r="C364" s="5"/>
      <c r="D364" s="5"/>
    </row>
    <row r="365">
      <c r="A365" s="5"/>
      <c r="B365" s="5"/>
      <c r="C365" s="5"/>
      <c r="D365" s="5"/>
    </row>
    <row r="366">
      <c r="A366" s="5"/>
      <c r="B366" s="5"/>
      <c r="C366" s="5"/>
      <c r="D366" s="5"/>
    </row>
    <row r="367">
      <c r="A367" s="5"/>
      <c r="B367" s="5"/>
      <c r="C367" s="5"/>
      <c r="D367" s="5"/>
    </row>
    <row r="368">
      <c r="A368" s="5"/>
      <c r="B368" s="5"/>
      <c r="C368" s="5"/>
      <c r="D368" s="5"/>
    </row>
    <row r="369">
      <c r="A369" s="5"/>
      <c r="B369" s="5"/>
      <c r="C369" s="5"/>
      <c r="D369" s="5"/>
    </row>
    <row r="370">
      <c r="A370" s="5"/>
      <c r="B370" s="5"/>
      <c r="C370" s="5"/>
      <c r="D370" s="5"/>
    </row>
    <row r="371">
      <c r="A371" s="5"/>
      <c r="B371" s="5"/>
      <c r="C371" s="5"/>
      <c r="D371" s="5"/>
    </row>
    <row r="372">
      <c r="A372" s="5"/>
      <c r="B372" s="5"/>
      <c r="C372" s="5"/>
      <c r="D372" s="5"/>
    </row>
    <row r="373">
      <c r="A373" s="5"/>
      <c r="B373" s="5"/>
      <c r="C373" s="5"/>
      <c r="D373" s="5"/>
    </row>
    <row r="374">
      <c r="A374" s="5"/>
      <c r="B374" s="5"/>
      <c r="C374" s="5"/>
      <c r="D374" s="5"/>
    </row>
    <row r="375">
      <c r="A375" s="5"/>
      <c r="B375" s="5"/>
      <c r="C375" s="5"/>
      <c r="D375" s="5"/>
    </row>
    <row r="376">
      <c r="A376" s="5"/>
      <c r="B376" s="5"/>
      <c r="C376" s="5"/>
      <c r="D376" s="5"/>
    </row>
    <row r="377">
      <c r="A377" s="5"/>
      <c r="B377" s="5"/>
      <c r="C377" s="5"/>
      <c r="D377" s="5"/>
    </row>
    <row r="378">
      <c r="A378" s="5"/>
      <c r="B378" s="5"/>
      <c r="C378" s="5"/>
      <c r="D378" s="5"/>
    </row>
    <row r="379">
      <c r="A379" s="5"/>
      <c r="B379" s="5"/>
      <c r="C379" s="5"/>
      <c r="D379" s="5"/>
    </row>
    <row r="380">
      <c r="A380" s="5"/>
      <c r="B380" s="5"/>
      <c r="C380" s="5"/>
      <c r="D380" s="5"/>
    </row>
    <row r="381">
      <c r="A381" s="5"/>
      <c r="B381" s="5"/>
      <c r="C381" s="5"/>
      <c r="D381" s="5"/>
    </row>
    <row r="382">
      <c r="A382" s="5"/>
      <c r="B382" s="5"/>
      <c r="C382" s="5"/>
      <c r="D382" s="5"/>
    </row>
    <row r="383">
      <c r="A383" s="5"/>
      <c r="B383" s="5"/>
      <c r="C383" s="5"/>
      <c r="D383" s="5"/>
    </row>
    <row r="384">
      <c r="A384" s="5"/>
      <c r="B384" s="5"/>
      <c r="C384" s="5"/>
      <c r="D384" s="5"/>
    </row>
    <row r="385">
      <c r="A385" s="5"/>
      <c r="B385" s="5"/>
      <c r="C385" s="5"/>
      <c r="D385" s="5"/>
    </row>
    <row r="386">
      <c r="A386" s="5"/>
      <c r="B386" s="5"/>
      <c r="C386" s="5"/>
      <c r="D386" s="5"/>
    </row>
    <row r="387">
      <c r="A387" s="5"/>
      <c r="B387" s="5"/>
      <c r="C387" s="5"/>
      <c r="D387" s="5"/>
    </row>
    <row r="388">
      <c r="A388" s="5"/>
      <c r="B388" s="5"/>
      <c r="C388" s="5"/>
      <c r="D388" s="5"/>
    </row>
    <row r="389">
      <c r="A389" s="5"/>
      <c r="B389" s="5"/>
      <c r="C389" s="5"/>
      <c r="D389" s="5"/>
    </row>
    <row r="390">
      <c r="A390" s="5"/>
      <c r="B390" s="5"/>
      <c r="C390" s="5"/>
      <c r="D390" s="5"/>
    </row>
    <row r="391">
      <c r="A391" s="5"/>
      <c r="B391" s="5"/>
      <c r="C391" s="5"/>
      <c r="D391" s="5"/>
    </row>
    <row r="392">
      <c r="A392" s="5"/>
      <c r="B392" s="5"/>
      <c r="C392" s="5"/>
      <c r="D392" s="5"/>
    </row>
    <row r="393">
      <c r="A393" s="5"/>
      <c r="B393" s="5"/>
      <c r="C393" s="5"/>
      <c r="D393" s="5"/>
    </row>
    <row r="394">
      <c r="A394" s="5"/>
      <c r="B394" s="5"/>
      <c r="C394" s="5"/>
      <c r="D394" s="5"/>
    </row>
    <row r="395">
      <c r="A395" s="5"/>
      <c r="B395" s="5"/>
      <c r="C395" s="5"/>
      <c r="D395" s="5"/>
    </row>
    <row r="396">
      <c r="A396" s="5"/>
      <c r="B396" s="5"/>
      <c r="C396" s="5"/>
      <c r="D396" s="5"/>
    </row>
    <row r="397">
      <c r="A397" s="5"/>
      <c r="B397" s="5"/>
      <c r="C397" s="5"/>
      <c r="D397" s="5"/>
    </row>
    <row r="398">
      <c r="A398" s="5"/>
      <c r="B398" s="5"/>
      <c r="C398" s="5"/>
      <c r="D398" s="5"/>
    </row>
    <row r="399">
      <c r="A399" s="5"/>
      <c r="B399" s="5"/>
      <c r="C399" s="5"/>
      <c r="D399" s="5"/>
    </row>
    <row r="400">
      <c r="A400" s="5"/>
      <c r="B400" s="5"/>
      <c r="C400" s="5"/>
      <c r="D400" s="5"/>
    </row>
    <row r="401">
      <c r="A401" s="5"/>
      <c r="B401" s="5"/>
      <c r="C401" s="5"/>
      <c r="D401" s="5"/>
    </row>
    <row r="402">
      <c r="A402" s="5"/>
      <c r="B402" s="5"/>
      <c r="C402" s="5"/>
      <c r="D402" s="5"/>
    </row>
    <row r="403">
      <c r="A403" s="5"/>
      <c r="B403" s="5"/>
      <c r="C403" s="5"/>
      <c r="D403" s="5"/>
    </row>
    <row r="404">
      <c r="A404" s="5"/>
      <c r="B404" s="5"/>
      <c r="C404" s="5"/>
      <c r="D404" s="5"/>
    </row>
    <row r="405">
      <c r="A405" s="5"/>
      <c r="B405" s="5"/>
      <c r="C405" s="5"/>
      <c r="D405" s="5"/>
    </row>
    <row r="406">
      <c r="A406" s="5"/>
      <c r="B406" s="5"/>
      <c r="C406" s="5"/>
      <c r="D406" s="5"/>
    </row>
    <row r="407">
      <c r="A407" s="5"/>
      <c r="B407" s="5"/>
      <c r="C407" s="5"/>
      <c r="D407" s="5"/>
    </row>
    <row r="408">
      <c r="A408" s="5"/>
      <c r="B408" s="5"/>
      <c r="C408" s="5"/>
      <c r="D408" s="5"/>
    </row>
    <row r="409">
      <c r="A409" s="5"/>
      <c r="B409" s="5"/>
      <c r="C409" s="5"/>
      <c r="D409" s="5"/>
    </row>
    <row r="410">
      <c r="A410" s="5"/>
      <c r="B410" s="5"/>
      <c r="C410" s="5"/>
      <c r="D410" s="5"/>
    </row>
    <row r="411">
      <c r="A411" s="5"/>
      <c r="B411" s="5"/>
      <c r="C411" s="5"/>
      <c r="D411" s="5"/>
    </row>
    <row r="412">
      <c r="A412" s="5"/>
      <c r="B412" s="5"/>
      <c r="C412" s="5"/>
      <c r="D412" s="5"/>
    </row>
    <row r="413">
      <c r="A413" s="5"/>
      <c r="B413" s="5"/>
      <c r="C413" s="5"/>
      <c r="D413" s="5"/>
    </row>
    <row r="414">
      <c r="A414" s="5"/>
      <c r="B414" s="5"/>
      <c r="C414" s="5"/>
      <c r="D414" s="5"/>
    </row>
    <row r="415">
      <c r="A415" s="5"/>
      <c r="B415" s="5"/>
      <c r="C415" s="5"/>
      <c r="D415" s="5"/>
    </row>
    <row r="416">
      <c r="A416" s="5"/>
      <c r="B416" s="5"/>
      <c r="C416" s="5"/>
      <c r="D416" s="5"/>
    </row>
    <row r="417">
      <c r="A417" s="5"/>
      <c r="B417" s="5"/>
      <c r="C417" s="5"/>
      <c r="D417" s="5"/>
    </row>
    <row r="418">
      <c r="A418" s="5"/>
      <c r="B418" s="5"/>
      <c r="C418" s="5"/>
      <c r="D418" s="5"/>
    </row>
    <row r="419">
      <c r="A419" s="5"/>
      <c r="B419" s="5"/>
      <c r="C419" s="5"/>
      <c r="D419" s="5"/>
    </row>
    <row r="420">
      <c r="A420" s="5"/>
      <c r="B420" s="5"/>
      <c r="C420" s="5"/>
      <c r="D420" s="5"/>
    </row>
    <row r="421">
      <c r="A421" s="5"/>
      <c r="B421" s="5"/>
      <c r="C421" s="5"/>
      <c r="D421" s="5"/>
    </row>
    <row r="422">
      <c r="A422" s="5"/>
      <c r="B422" s="5"/>
      <c r="C422" s="5"/>
      <c r="D422" s="5"/>
    </row>
    <row r="423">
      <c r="A423" s="5"/>
      <c r="B423" s="5"/>
      <c r="C423" s="5"/>
      <c r="D423" s="5"/>
    </row>
    <row r="424">
      <c r="A424" s="5"/>
      <c r="B424" s="5"/>
      <c r="C424" s="5"/>
      <c r="D424" s="5"/>
    </row>
    <row r="425">
      <c r="A425" s="5"/>
      <c r="B425" s="5"/>
      <c r="C425" s="5"/>
      <c r="D425" s="5"/>
    </row>
    <row r="426">
      <c r="A426" s="5"/>
      <c r="B426" s="5"/>
      <c r="C426" s="5"/>
      <c r="D426" s="5"/>
    </row>
    <row r="427">
      <c r="A427" s="5"/>
      <c r="B427" s="5"/>
      <c r="C427" s="5"/>
      <c r="D427" s="5"/>
    </row>
    <row r="428">
      <c r="A428" s="5"/>
      <c r="B428" s="5"/>
      <c r="C428" s="5"/>
      <c r="D428" s="5"/>
    </row>
    <row r="429">
      <c r="A429" s="5"/>
      <c r="B429" s="5"/>
      <c r="C429" s="5"/>
      <c r="D429" s="5"/>
    </row>
    <row r="430">
      <c r="A430" s="5"/>
      <c r="B430" s="5"/>
      <c r="C430" s="5"/>
      <c r="D430" s="5"/>
    </row>
    <row r="431">
      <c r="A431" s="5"/>
      <c r="B431" s="5"/>
      <c r="C431" s="5"/>
      <c r="D431" s="5"/>
    </row>
    <row r="432">
      <c r="A432" s="5"/>
      <c r="B432" s="5"/>
      <c r="C432" s="5"/>
      <c r="D432" s="5"/>
    </row>
    <row r="433">
      <c r="A433" s="5"/>
      <c r="B433" s="5"/>
      <c r="C433" s="5"/>
      <c r="D433" s="5"/>
    </row>
    <row r="434">
      <c r="A434" s="5"/>
      <c r="B434" s="5"/>
      <c r="C434" s="5"/>
      <c r="D434" s="5"/>
    </row>
    <row r="435">
      <c r="A435" s="5"/>
      <c r="B435" s="5"/>
      <c r="C435" s="5"/>
      <c r="D435" s="5"/>
    </row>
    <row r="436">
      <c r="A436" s="5"/>
      <c r="B436" s="5"/>
      <c r="C436" s="5"/>
      <c r="D436" s="5"/>
    </row>
    <row r="437">
      <c r="A437" s="5"/>
      <c r="B437" s="5"/>
      <c r="C437" s="5"/>
      <c r="D437" s="5"/>
    </row>
    <row r="438">
      <c r="A438" s="5"/>
      <c r="B438" s="5"/>
      <c r="C438" s="5"/>
      <c r="D438" s="5"/>
    </row>
    <row r="439">
      <c r="A439" s="5"/>
      <c r="B439" s="5"/>
      <c r="C439" s="5"/>
      <c r="D439" s="5"/>
    </row>
    <row r="440">
      <c r="A440" s="5"/>
      <c r="B440" s="5"/>
      <c r="C440" s="5"/>
      <c r="D440" s="5"/>
    </row>
    <row r="441">
      <c r="A441" s="5"/>
      <c r="B441" s="5"/>
      <c r="C441" s="5"/>
      <c r="D441" s="5"/>
    </row>
    <row r="442">
      <c r="A442" s="5"/>
      <c r="B442" s="5"/>
      <c r="C442" s="5"/>
      <c r="D442" s="5"/>
    </row>
    <row r="443">
      <c r="A443" s="5"/>
      <c r="B443" s="5"/>
      <c r="C443" s="5"/>
      <c r="D443" s="5"/>
    </row>
    <row r="444">
      <c r="A444" s="5"/>
      <c r="B444" s="5"/>
      <c r="C444" s="5"/>
      <c r="D444" s="5"/>
    </row>
    <row r="445">
      <c r="A445" s="5"/>
      <c r="B445" s="5"/>
      <c r="C445" s="5"/>
      <c r="D445" s="5"/>
    </row>
    <row r="446">
      <c r="A446" s="5"/>
      <c r="B446" s="5"/>
      <c r="C446" s="5"/>
      <c r="D446" s="5"/>
    </row>
    <row r="447">
      <c r="A447" s="5"/>
      <c r="B447" s="5"/>
      <c r="C447" s="5"/>
      <c r="D447" s="5"/>
    </row>
    <row r="448">
      <c r="A448" s="5"/>
      <c r="B448" s="5"/>
      <c r="C448" s="5"/>
      <c r="D448" s="5"/>
    </row>
    <row r="449">
      <c r="A449" s="5"/>
      <c r="B449" s="5"/>
      <c r="C449" s="5"/>
      <c r="D449" s="5"/>
    </row>
    <row r="450">
      <c r="A450" s="5"/>
      <c r="B450" s="5"/>
      <c r="C450" s="5"/>
      <c r="D450" s="5"/>
    </row>
    <row r="451">
      <c r="A451" s="5"/>
      <c r="B451" s="5"/>
      <c r="C451" s="5"/>
      <c r="D451" s="5"/>
    </row>
    <row r="452">
      <c r="A452" s="5"/>
      <c r="B452" s="5"/>
      <c r="C452" s="5"/>
      <c r="D452" s="5"/>
    </row>
    <row r="453">
      <c r="A453" s="5"/>
      <c r="B453" s="5"/>
      <c r="C453" s="5"/>
      <c r="D453" s="5"/>
    </row>
    <row r="454">
      <c r="A454" s="5"/>
      <c r="B454" s="5"/>
      <c r="C454" s="5"/>
      <c r="D454" s="5"/>
    </row>
    <row r="455">
      <c r="A455" s="5"/>
      <c r="B455" s="5"/>
      <c r="C455" s="5"/>
      <c r="D455" s="5"/>
    </row>
    <row r="456">
      <c r="A456" s="5"/>
      <c r="B456" s="5"/>
      <c r="C456" s="5"/>
      <c r="D456" s="5"/>
    </row>
    <row r="457">
      <c r="A457" s="5"/>
      <c r="B457" s="5"/>
      <c r="C457" s="5"/>
      <c r="D457" s="5"/>
    </row>
    <row r="458">
      <c r="A458" s="5"/>
      <c r="B458" s="5"/>
      <c r="C458" s="5"/>
      <c r="D458" s="5"/>
    </row>
    <row r="459">
      <c r="A459" s="5"/>
      <c r="B459" s="5"/>
      <c r="C459" s="5"/>
      <c r="D459" s="5"/>
    </row>
    <row r="460">
      <c r="A460" s="5"/>
      <c r="B460" s="5"/>
      <c r="C460" s="5"/>
      <c r="D460" s="5"/>
    </row>
    <row r="461">
      <c r="A461" s="5"/>
      <c r="B461" s="5"/>
      <c r="C461" s="5"/>
      <c r="D461" s="5"/>
    </row>
    <row r="462">
      <c r="A462" s="5"/>
      <c r="B462" s="5"/>
      <c r="C462" s="5"/>
      <c r="D462" s="5"/>
    </row>
    <row r="463">
      <c r="A463" s="5"/>
      <c r="B463" s="5"/>
      <c r="C463" s="5"/>
      <c r="D463" s="5"/>
    </row>
    <row r="464">
      <c r="A464" s="5"/>
      <c r="B464" s="5"/>
      <c r="C464" s="5"/>
      <c r="D464" s="5"/>
    </row>
    <row r="465">
      <c r="A465" s="5"/>
      <c r="B465" s="5"/>
      <c r="C465" s="5"/>
      <c r="D465" s="5"/>
    </row>
    <row r="466">
      <c r="A466" s="5"/>
      <c r="B466" s="5"/>
      <c r="C466" s="5"/>
      <c r="D466" s="5"/>
    </row>
    <row r="467">
      <c r="A467" s="5"/>
      <c r="B467" s="5"/>
      <c r="C467" s="5"/>
      <c r="D467" s="5"/>
    </row>
    <row r="468">
      <c r="A468" s="5"/>
      <c r="B468" s="5"/>
      <c r="C468" s="5"/>
      <c r="D468" s="5"/>
    </row>
    <row r="469">
      <c r="A469" s="5"/>
      <c r="B469" s="5"/>
      <c r="C469" s="5"/>
      <c r="D469" s="5"/>
    </row>
    <row r="470">
      <c r="A470" s="5"/>
      <c r="B470" s="5"/>
      <c r="C470" s="5"/>
      <c r="D470" s="5"/>
    </row>
    <row r="471">
      <c r="A471" s="5"/>
      <c r="B471" s="5"/>
      <c r="C471" s="5"/>
      <c r="D471" s="5"/>
    </row>
    <row r="472">
      <c r="A472" s="5"/>
      <c r="B472" s="5"/>
      <c r="C472" s="5"/>
      <c r="D472" s="5"/>
    </row>
    <row r="473">
      <c r="A473" s="5"/>
      <c r="B473" s="5"/>
      <c r="C473" s="5"/>
      <c r="D473" s="5"/>
    </row>
    <row r="474">
      <c r="A474" s="5"/>
      <c r="B474" s="5"/>
      <c r="C474" s="5"/>
      <c r="D474" s="5"/>
    </row>
    <row r="475">
      <c r="A475" s="5"/>
      <c r="B475" s="5"/>
      <c r="C475" s="5"/>
      <c r="D475" s="5"/>
    </row>
    <row r="476">
      <c r="A476" s="5"/>
      <c r="B476" s="5"/>
      <c r="C476" s="5"/>
      <c r="D476" s="5"/>
    </row>
    <row r="477">
      <c r="A477" s="5"/>
      <c r="B477" s="5"/>
      <c r="C477" s="5"/>
      <c r="D477" s="5"/>
    </row>
    <row r="478">
      <c r="A478" s="5"/>
      <c r="B478" s="5"/>
      <c r="C478" s="5"/>
      <c r="D478" s="5"/>
    </row>
    <row r="479">
      <c r="A479" s="5"/>
      <c r="B479" s="5"/>
      <c r="C479" s="5"/>
      <c r="D479" s="5"/>
    </row>
    <row r="480">
      <c r="A480" s="5"/>
      <c r="B480" s="5"/>
      <c r="C480" s="5"/>
      <c r="D480" s="5"/>
    </row>
    <row r="481">
      <c r="A481" s="5"/>
      <c r="B481" s="5"/>
      <c r="C481" s="5"/>
      <c r="D481" s="5"/>
    </row>
    <row r="482">
      <c r="A482" s="5"/>
      <c r="B482" s="5"/>
      <c r="C482" s="5"/>
      <c r="D482" s="5"/>
    </row>
    <row r="483">
      <c r="A483" s="5"/>
      <c r="B483" s="5"/>
      <c r="C483" s="5"/>
      <c r="D483" s="5"/>
    </row>
    <row r="484">
      <c r="A484" s="5"/>
      <c r="B484" s="5"/>
      <c r="C484" s="5"/>
      <c r="D484" s="5"/>
    </row>
    <row r="485">
      <c r="A485" s="5"/>
      <c r="B485" s="5"/>
      <c r="C485" s="5"/>
      <c r="D485" s="5"/>
    </row>
    <row r="486">
      <c r="A486" s="5"/>
      <c r="B486" s="5"/>
      <c r="C486" s="5"/>
      <c r="D486" s="5"/>
    </row>
    <row r="487">
      <c r="A487" s="5"/>
      <c r="B487" s="5"/>
      <c r="C487" s="5"/>
      <c r="D487" s="5"/>
    </row>
    <row r="488">
      <c r="A488" s="5"/>
      <c r="B488" s="5"/>
      <c r="C488" s="5"/>
      <c r="D488" s="5"/>
    </row>
    <row r="489">
      <c r="A489" s="5"/>
      <c r="B489" s="5"/>
      <c r="C489" s="5"/>
      <c r="D489" s="5"/>
    </row>
    <row r="490">
      <c r="A490" s="5"/>
      <c r="B490" s="5"/>
      <c r="C490" s="5"/>
      <c r="D490" s="5"/>
    </row>
    <row r="491">
      <c r="A491" s="5"/>
      <c r="B491" s="5"/>
      <c r="C491" s="5"/>
      <c r="D491" s="5"/>
    </row>
    <row r="492">
      <c r="A492" s="5"/>
      <c r="B492" s="5"/>
      <c r="C492" s="5"/>
      <c r="D492" s="5"/>
    </row>
    <row r="493">
      <c r="A493" s="5"/>
      <c r="B493" s="5"/>
      <c r="C493" s="5"/>
      <c r="D493" s="5"/>
    </row>
    <row r="494">
      <c r="A494" s="5"/>
      <c r="B494" s="5"/>
      <c r="C494" s="5"/>
      <c r="D494" s="5"/>
    </row>
    <row r="495">
      <c r="A495" s="5"/>
      <c r="B495" s="5"/>
      <c r="C495" s="5"/>
      <c r="D495" s="5"/>
    </row>
    <row r="496">
      <c r="A496" s="5"/>
      <c r="B496" s="5"/>
      <c r="C496" s="5"/>
      <c r="D496" s="5"/>
    </row>
    <row r="497">
      <c r="A497" s="5"/>
      <c r="B497" s="5"/>
      <c r="C497" s="5"/>
      <c r="D497" s="5"/>
    </row>
    <row r="498">
      <c r="A498" s="5"/>
      <c r="B498" s="5"/>
      <c r="C498" s="5"/>
      <c r="D498" s="5"/>
    </row>
    <row r="499">
      <c r="A499" s="5"/>
      <c r="B499" s="5"/>
      <c r="C499" s="5"/>
      <c r="D499" s="5"/>
    </row>
    <row r="500">
      <c r="A500" s="5"/>
      <c r="B500" s="5"/>
      <c r="C500" s="5"/>
      <c r="D500" s="5"/>
    </row>
    <row r="501">
      <c r="A501" s="5"/>
      <c r="B501" s="5"/>
      <c r="C501" s="5"/>
      <c r="D501" s="5"/>
    </row>
    <row r="502">
      <c r="A502" s="5"/>
      <c r="B502" s="5"/>
      <c r="C502" s="5"/>
      <c r="D502" s="5"/>
    </row>
    <row r="503">
      <c r="A503" s="5"/>
      <c r="B503" s="5"/>
      <c r="C503" s="5"/>
      <c r="D503" s="5"/>
    </row>
    <row r="504">
      <c r="A504" s="5"/>
      <c r="B504" s="5"/>
      <c r="C504" s="5"/>
      <c r="D504" s="5"/>
    </row>
    <row r="505">
      <c r="A505" s="5"/>
      <c r="B505" s="5"/>
      <c r="C505" s="5"/>
      <c r="D505" s="5"/>
    </row>
    <row r="506">
      <c r="A506" s="5"/>
      <c r="B506" s="5"/>
      <c r="C506" s="5"/>
      <c r="D506" s="5"/>
    </row>
    <row r="507">
      <c r="A507" s="5"/>
      <c r="B507" s="5"/>
      <c r="C507" s="5"/>
      <c r="D507" s="5"/>
    </row>
    <row r="508">
      <c r="A508" s="5"/>
      <c r="B508" s="5"/>
      <c r="C508" s="5"/>
      <c r="D508" s="5"/>
    </row>
    <row r="509">
      <c r="A509" s="5"/>
      <c r="B509" s="5"/>
      <c r="C509" s="5"/>
      <c r="D509" s="5"/>
    </row>
    <row r="510">
      <c r="A510" s="5"/>
      <c r="B510" s="5"/>
      <c r="C510" s="5"/>
      <c r="D510" s="5"/>
    </row>
    <row r="511">
      <c r="A511" s="5"/>
      <c r="B511" s="5"/>
      <c r="C511" s="5"/>
      <c r="D511" s="5"/>
    </row>
    <row r="512">
      <c r="A512" s="5"/>
      <c r="B512" s="5"/>
      <c r="C512" s="5"/>
      <c r="D512" s="5"/>
    </row>
    <row r="513">
      <c r="A513" s="5"/>
      <c r="B513" s="5"/>
      <c r="C513" s="5"/>
      <c r="D513" s="5"/>
    </row>
    <row r="514">
      <c r="A514" s="5"/>
      <c r="B514" s="5"/>
      <c r="C514" s="5"/>
      <c r="D514" s="5"/>
    </row>
    <row r="515">
      <c r="A515" s="5"/>
      <c r="B515" s="5"/>
      <c r="C515" s="5"/>
      <c r="D515" s="5"/>
    </row>
    <row r="516">
      <c r="A516" s="5"/>
      <c r="B516" s="5"/>
      <c r="C516" s="5"/>
      <c r="D516" s="5"/>
    </row>
    <row r="517">
      <c r="A517" s="5"/>
      <c r="B517" s="5"/>
      <c r="C517" s="5"/>
      <c r="D517" s="5"/>
    </row>
    <row r="518">
      <c r="A518" s="5"/>
      <c r="B518" s="5"/>
      <c r="C518" s="5"/>
      <c r="D518" s="5"/>
    </row>
    <row r="519">
      <c r="A519" s="5"/>
      <c r="B519" s="5"/>
      <c r="C519" s="5"/>
      <c r="D519" s="5"/>
    </row>
    <row r="520">
      <c r="A520" s="5"/>
      <c r="B520" s="5"/>
      <c r="C520" s="5"/>
      <c r="D520" s="5"/>
    </row>
    <row r="521">
      <c r="A521" s="5"/>
      <c r="B521" s="5"/>
      <c r="C521" s="5"/>
      <c r="D521" s="5"/>
    </row>
    <row r="522">
      <c r="A522" s="5"/>
      <c r="B522" s="5"/>
      <c r="C522" s="5"/>
      <c r="D522" s="5"/>
    </row>
    <row r="523">
      <c r="A523" s="5"/>
      <c r="B523" s="5"/>
      <c r="C523" s="5"/>
      <c r="D523" s="5"/>
    </row>
    <row r="524">
      <c r="A524" s="5"/>
      <c r="B524" s="5"/>
      <c r="C524" s="5"/>
      <c r="D524" s="5"/>
    </row>
    <row r="525">
      <c r="A525" s="5"/>
      <c r="B525" s="5"/>
      <c r="C525" s="5"/>
      <c r="D525" s="5"/>
    </row>
    <row r="526">
      <c r="A526" s="5"/>
      <c r="B526" s="5"/>
      <c r="C526" s="5"/>
      <c r="D526" s="5"/>
    </row>
    <row r="527">
      <c r="A527" s="5"/>
      <c r="B527" s="5"/>
      <c r="C527" s="5"/>
      <c r="D527" s="5"/>
    </row>
    <row r="528">
      <c r="A528" s="5"/>
      <c r="B528" s="5"/>
      <c r="C528" s="5"/>
      <c r="D528" s="5"/>
    </row>
    <row r="529">
      <c r="A529" s="5"/>
      <c r="B529" s="5"/>
      <c r="C529" s="5"/>
      <c r="D529" s="5"/>
    </row>
    <row r="530">
      <c r="A530" s="5"/>
      <c r="B530" s="5"/>
      <c r="C530" s="5"/>
      <c r="D530" s="5"/>
    </row>
    <row r="531">
      <c r="A531" s="5"/>
      <c r="B531" s="5"/>
      <c r="C531" s="5"/>
      <c r="D531" s="5"/>
    </row>
    <row r="532">
      <c r="A532" s="5"/>
      <c r="B532" s="5"/>
      <c r="C532" s="5"/>
      <c r="D532" s="5"/>
    </row>
    <row r="533">
      <c r="A533" s="5"/>
      <c r="B533" s="5"/>
      <c r="C533" s="5"/>
      <c r="D533" s="5"/>
    </row>
    <row r="534">
      <c r="A534" s="5"/>
      <c r="B534" s="5"/>
      <c r="C534" s="5"/>
      <c r="D534" s="5"/>
    </row>
    <row r="535">
      <c r="A535" s="5"/>
      <c r="B535" s="5"/>
      <c r="C535" s="5"/>
      <c r="D535" s="5"/>
    </row>
    <row r="536">
      <c r="A536" s="5"/>
      <c r="B536" s="5"/>
      <c r="C536" s="5"/>
      <c r="D536" s="5"/>
    </row>
    <row r="537">
      <c r="A537" s="5"/>
      <c r="B537" s="5"/>
      <c r="C537" s="5"/>
      <c r="D537" s="5"/>
    </row>
    <row r="538">
      <c r="A538" s="5"/>
      <c r="B538" s="5"/>
      <c r="C538" s="5"/>
      <c r="D538" s="5"/>
    </row>
    <row r="539">
      <c r="A539" s="5"/>
      <c r="B539" s="5"/>
      <c r="C539" s="5"/>
      <c r="D539" s="5"/>
    </row>
    <row r="540">
      <c r="A540" s="5"/>
      <c r="B540" s="5"/>
      <c r="C540" s="5"/>
      <c r="D540" s="5"/>
    </row>
    <row r="541">
      <c r="A541" s="5"/>
      <c r="B541" s="5"/>
      <c r="C541" s="5"/>
      <c r="D541" s="5"/>
    </row>
    <row r="542">
      <c r="A542" s="5"/>
      <c r="B542" s="5"/>
      <c r="C542" s="5"/>
      <c r="D542" s="5"/>
    </row>
    <row r="543">
      <c r="A543" s="5"/>
      <c r="B543" s="5"/>
      <c r="C543" s="5"/>
      <c r="D543" s="5"/>
    </row>
    <row r="544">
      <c r="A544" s="5"/>
      <c r="B544" s="5"/>
      <c r="C544" s="5"/>
      <c r="D544" s="5"/>
    </row>
    <row r="545">
      <c r="A545" s="5"/>
      <c r="B545" s="5"/>
      <c r="C545" s="5"/>
      <c r="D545" s="5"/>
    </row>
    <row r="546">
      <c r="A546" s="5"/>
      <c r="B546" s="5"/>
      <c r="C546" s="5"/>
      <c r="D546" s="5"/>
    </row>
    <row r="547">
      <c r="A547" s="5"/>
      <c r="B547" s="5"/>
      <c r="C547" s="5"/>
      <c r="D547" s="5"/>
    </row>
    <row r="548">
      <c r="A548" s="5"/>
      <c r="B548" s="5"/>
      <c r="C548" s="5"/>
      <c r="D548" s="5"/>
    </row>
    <row r="549">
      <c r="A549" s="5"/>
      <c r="B549" s="5"/>
      <c r="C549" s="5"/>
      <c r="D549" s="5"/>
    </row>
    <row r="550">
      <c r="A550" s="5"/>
      <c r="B550" s="5"/>
      <c r="C550" s="5"/>
      <c r="D550" s="5"/>
    </row>
    <row r="551">
      <c r="A551" s="5"/>
      <c r="B551" s="5"/>
      <c r="C551" s="5"/>
      <c r="D551" s="5"/>
    </row>
    <row r="552">
      <c r="A552" s="5"/>
      <c r="B552" s="5"/>
      <c r="C552" s="5"/>
      <c r="D552" s="5"/>
    </row>
    <row r="553">
      <c r="A553" s="5"/>
      <c r="B553" s="5"/>
      <c r="C553" s="5"/>
      <c r="D553" s="5"/>
    </row>
    <row r="554">
      <c r="A554" s="5"/>
      <c r="B554" s="5"/>
      <c r="C554" s="5"/>
      <c r="D554" s="5"/>
    </row>
    <row r="555">
      <c r="A555" s="5"/>
      <c r="B555" s="5"/>
      <c r="C555" s="5"/>
      <c r="D555" s="5"/>
    </row>
    <row r="556">
      <c r="A556" s="5"/>
      <c r="B556" s="5"/>
      <c r="C556" s="5"/>
      <c r="D556" s="5"/>
    </row>
    <row r="557">
      <c r="A557" s="5"/>
      <c r="B557" s="5"/>
      <c r="C557" s="5"/>
      <c r="D557" s="5"/>
    </row>
    <row r="558">
      <c r="A558" s="5"/>
      <c r="B558" s="5"/>
      <c r="C558" s="5"/>
      <c r="D558" s="5"/>
    </row>
    <row r="559">
      <c r="A559" s="5"/>
      <c r="B559" s="5"/>
      <c r="C559" s="5"/>
      <c r="D559" s="5"/>
    </row>
    <row r="560">
      <c r="A560" s="5"/>
      <c r="B560" s="5"/>
      <c r="C560" s="5"/>
      <c r="D560" s="5"/>
    </row>
    <row r="561">
      <c r="A561" s="5"/>
      <c r="B561" s="5"/>
      <c r="C561" s="5"/>
      <c r="D561" s="5"/>
    </row>
    <row r="562">
      <c r="A562" s="5"/>
      <c r="B562" s="5"/>
      <c r="C562" s="5"/>
      <c r="D562" s="5"/>
    </row>
    <row r="563">
      <c r="A563" s="5"/>
      <c r="B563" s="5"/>
      <c r="C563" s="5"/>
      <c r="D563" s="5"/>
    </row>
    <row r="564">
      <c r="A564" s="5"/>
      <c r="B564" s="5"/>
      <c r="C564" s="5"/>
      <c r="D564" s="5"/>
    </row>
    <row r="565">
      <c r="A565" s="5"/>
      <c r="B565" s="5"/>
      <c r="C565" s="5"/>
      <c r="D565" s="5"/>
    </row>
    <row r="566">
      <c r="A566" s="5"/>
      <c r="B566" s="5"/>
      <c r="C566" s="5"/>
      <c r="D566" s="5"/>
    </row>
    <row r="567">
      <c r="A567" s="5"/>
      <c r="B567" s="5"/>
      <c r="C567" s="5"/>
      <c r="D567" s="5"/>
    </row>
    <row r="568">
      <c r="A568" s="5"/>
      <c r="B568" s="5"/>
      <c r="C568" s="5"/>
      <c r="D568" s="5"/>
    </row>
    <row r="569">
      <c r="A569" s="5"/>
      <c r="B569" s="5"/>
      <c r="C569" s="5"/>
      <c r="D569" s="5"/>
    </row>
    <row r="570">
      <c r="A570" s="5"/>
      <c r="B570" s="5"/>
      <c r="C570" s="5"/>
      <c r="D570" s="5"/>
    </row>
    <row r="571">
      <c r="A571" s="5"/>
      <c r="B571" s="5"/>
      <c r="C571" s="5"/>
      <c r="D571" s="5"/>
    </row>
    <row r="572">
      <c r="A572" s="5"/>
      <c r="B572" s="5"/>
      <c r="C572" s="5"/>
      <c r="D572" s="5"/>
    </row>
    <row r="573">
      <c r="A573" s="5"/>
      <c r="B573" s="5"/>
      <c r="C573" s="5"/>
      <c r="D573" s="5"/>
    </row>
    <row r="574">
      <c r="A574" s="5"/>
      <c r="B574" s="5"/>
      <c r="C574" s="5"/>
      <c r="D574" s="5"/>
    </row>
    <row r="575">
      <c r="A575" s="5"/>
      <c r="B575" s="5"/>
      <c r="C575" s="5"/>
      <c r="D575" s="5"/>
    </row>
    <row r="576">
      <c r="A576" s="5"/>
      <c r="B576" s="5"/>
      <c r="C576" s="5"/>
      <c r="D576" s="5"/>
    </row>
    <row r="577">
      <c r="A577" s="5"/>
      <c r="B577" s="5"/>
      <c r="C577" s="5"/>
      <c r="D577" s="5"/>
    </row>
    <row r="578">
      <c r="A578" s="5"/>
      <c r="B578" s="5"/>
      <c r="C578" s="5"/>
      <c r="D578" s="5"/>
    </row>
    <row r="579">
      <c r="A579" s="5"/>
      <c r="B579" s="5"/>
      <c r="C579" s="5"/>
      <c r="D579" s="5"/>
    </row>
    <row r="580">
      <c r="A580" s="5"/>
      <c r="B580" s="5"/>
      <c r="C580" s="5"/>
      <c r="D580" s="5"/>
    </row>
    <row r="581">
      <c r="A581" s="5"/>
      <c r="B581" s="5"/>
      <c r="C581" s="5"/>
      <c r="D581" s="5"/>
    </row>
    <row r="582">
      <c r="A582" s="5"/>
      <c r="B582" s="5"/>
      <c r="C582" s="5"/>
      <c r="D582" s="5"/>
    </row>
    <row r="583">
      <c r="A583" s="5"/>
      <c r="B583" s="5"/>
      <c r="C583" s="5"/>
      <c r="D583" s="5"/>
    </row>
    <row r="584">
      <c r="A584" s="5"/>
      <c r="B584" s="5"/>
      <c r="C584" s="5"/>
      <c r="D584" s="5"/>
    </row>
    <row r="585">
      <c r="A585" s="5"/>
      <c r="B585" s="5"/>
      <c r="C585" s="5"/>
      <c r="D585" s="5"/>
    </row>
    <row r="586">
      <c r="A586" s="5"/>
      <c r="B586" s="5"/>
      <c r="C586" s="5"/>
      <c r="D586" s="5"/>
    </row>
    <row r="587">
      <c r="A587" s="5"/>
      <c r="B587" s="5"/>
      <c r="C587" s="5"/>
      <c r="D587" s="5"/>
    </row>
    <row r="588">
      <c r="A588" s="5"/>
      <c r="B588" s="5"/>
      <c r="C588" s="5"/>
      <c r="D588" s="5"/>
    </row>
    <row r="589">
      <c r="A589" s="5"/>
      <c r="B589" s="5"/>
      <c r="C589" s="5"/>
      <c r="D589" s="5"/>
    </row>
    <row r="590">
      <c r="A590" s="5"/>
      <c r="B590" s="5"/>
      <c r="C590" s="5"/>
      <c r="D590" s="5"/>
    </row>
    <row r="591">
      <c r="A591" s="5"/>
      <c r="B591" s="5"/>
      <c r="C591" s="5"/>
      <c r="D591" s="5"/>
    </row>
    <row r="592">
      <c r="A592" s="5"/>
      <c r="B592" s="5"/>
      <c r="C592" s="5"/>
      <c r="D592" s="5"/>
    </row>
    <row r="593">
      <c r="A593" s="5"/>
      <c r="B593" s="5"/>
      <c r="C593" s="5"/>
      <c r="D593" s="5"/>
    </row>
    <row r="594">
      <c r="A594" s="5"/>
      <c r="B594" s="5"/>
      <c r="C594" s="5"/>
      <c r="D594" s="5"/>
    </row>
    <row r="595">
      <c r="A595" s="5"/>
      <c r="B595" s="5"/>
      <c r="C595" s="5"/>
      <c r="D595" s="5"/>
    </row>
    <row r="596">
      <c r="A596" s="5"/>
      <c r="B596" s="5"/>
      <c r="C596" s="5"/>
      <c r="D596" s="5"/>
    </row>
    <row r="597">
      <c r="A597" s="5"/>
      <c r="B597" s="5"/>
      <c r="C597" s="5"/>
      <c r="D597" s="5"/>
    </row>
    <row r="598">
      <c r="A598" s="5"/>
      <c r="B598" s="5"/>
      <c r="C598" s="5"/>
      <c r="D598" s="5"/>
    </row>
    <row r="599">
      <c r="A599" s="5"/>
      <c r="B599" s="5"/>
      <c r="C599" s="5"/>
      <c r="D599" s="5"/>
    </row>
    <row r="600">
      <c r="A600" s="5"/>
      <c r="B600" s="5"/>
      <c r="C600" s="5"/>
      <c r="D600" s="5"/>
    </row>
    <row r="601">
      <c r="A601" s="5"/>
      <c r="B601" s="5"/>
      <c r="C601" s="5"/>
      <c r="D601" s="5"/>
    </row>
    <row r="602">
      <c r="A602" s="5"/>
      <c r="B602" s="5"/>
      <c r="C602" s="5"/>
      <c r="D602" s="5"/>
    </row>
    <row r="603">
      <c r="A603" s="5"/>
      <c r="B603" s="5"/>
      <c r="C603" s="5"/>
      <c r="D603" s="5"/>
    </row>
    <row r="604">
      <c r="A604" s="5"/>
      <c r="B604" s="5"/>
      <c r="C604" s="5"/>
      <c r="D604" s="5"/>
    </row>
    <row r="605">
      <c r="A605" s="5"/>
      <c r="B605" s="5"/>
      <c r="C605" s="5"/>
      <c r="D605" s="5"/>
    </row>
    <row r="606">
      <c r="A606" s="5"/>
      <c r="B606" s="5"/>
      <c r="C606" s="5"/>
      <c r="D606" s="5"/>
    </row>
    <row r="607">
      <c r="A607" s="5"/>
      <c r="B607" s="5"/>
      <c r="C607" s="5"/>
      <c r="D607" s="5"/>
    </row>
    <row r="608">
      <c r="A608" s="5"/>
      <c r="B608" s="5"/>
      <c r="C608" s="5"/>
      <c r="D608" s="5"/>
    </row>
    <row r="609">
      <c r="A609" s="5"/>
      <c r="B609" s="5"/>
      <c r="C609" s="5"/>
      <c r="D609" s="5"/>
    </row>
    <row r="610">
      <c r="A610" s="5"/>
      <c r="B610" s="5"/>
      <c r="C610" s="5"/>
      <c r="D610" s="5"/>
    </row>
    <row r="611">
      <c r="A611" s="5"/>
      <c r="B611" s="5"/>
      <c r="C611" s="5"/>
      <c r="D611" s="5"/>
    </row>
    <row r="612">
      <c r="A612" s="5"/>
      <c r="B612" s="5"/>
      <c r="C612" s="5"/>
      <c r="D612" s="5"/>
    </row>
    <row r="613">
      <c r="A613" s="5"/>
      <c r="B613" s="5"/>
      <c r="C613" s="5"/>
      <c r="D613" s="5"/>
    </row>
    <row r="614">
      <c r="A614" s="5"/>
      <c r="B614" s="5"/>
      <c r="C614" s="5"/>
      <c r="D614" s="5"/>
    </row>
    <row r="615">
      <c r="A615" s="5"/>
      <c r="B615" s="5"/>
      <c r="C615" s="5"/>
      <c r="D615" s="5"/>
    </row>
    <row r="616">
      <c r="A616" s="5"/>
      <c r="B616" s="5"/>
      <c r="C616" s="5"/>
      <c r="D616" s="5"/>
    </row>
    <row r="617">
      <c r="A617" s="5"/>
      <c r="B617" s="5"/>
      <c r="C617" s="5"/>
      <c r="D617" s="5"/>
    </row>
    <row r="618">
      <c r="A618" s="5"/>
      <c r="B618" s="5"/>
      <c r="C618" s="5"/>
      <c r="D618" s="5"/>
    </row>
    <row r="619">
      <c r="A619" s="5"/>
      <c r="B619" s="5"/>
      <c r="C619" s="5"/>
      <c r="D619" s="5"/>
    </row>
    <row r="620">
      <c r="A620" s="5"/>
      <c r="B620" s="5"/>
      <c r="C620" s="5"/>
      <c r="D620" s="5"/>
    </row>
    <row r="621">
      <c r="A621" s="5"/>
      <c r="B621" s="5"/>
      <c r="C621" s="5"/>
      <c r="D621" s="5"/>
    </row>
    <row r="622">
      <c r="A622" s="5"/>
      <c r="B622" s="5"/>
      <c r="C622" s="5"/>
      <c r="D622" s="5"/>
    </row>
    <row r="623">
      <c r="A623" s="5"/>
      <c r="B623" s="5"/>
      <c r="C623" s="5"/>
      <c r="D623" s="5"/>
    </row>
    <row r="624">
      <c r="A624" s="5"/>
      <c r="B624" s="5"/>
      <c r="C624" s="5"/>
      <c r="D624" s="5"/>
    </row>
    <row r="625">
      <c r="A625" s="5"/>
      <c r="B625" s="5"/>
      <c r="C625" s="5"/>
      <c r="D625" s="5"/>
    </row>
    <row r="626">
      <c r="A626" s="5"/>
      <c r="B626" s="5"/>
      <c r="C626" s="5"/>
      <c r="D626" s="5"/>
    </row>
    <row r="627">
      <c r="A627" s="5"/>
      <c r="B627" s="5"/>
      <c r="C627" s="5"/>
      <c r="D627" s="5"/>
    </row>
    <row r="628">
      <c r="A628" s="5"/>
      <c r="B628" s="5"/>
      <c r="C628" s="5"/>
      <c r="D628" s="5"/>
    </row>
    <row r="629">
      <c r="A629" s="5"/>
      <c r="B629" s="5"/>
      <c r="C629" s="5"/>
      <c r="D629" s="5"/>
    </row>
    <row r="630">
      <c r="A630" s="5"/>
      <c r="B630" s="5"/>
      <c r="C630" s="5"/>
      <c r="D630" s="5"/>
    </row>
    <row r="631">
      <c r="A631" s="5"/>
      <c r="B631" s="5"/>
      <c r="C631" s="5"/>
      <c r="D631" s="5"/>
    </row>
    <row r="632">
      <c r="A632" s="5"/>
      <c r="B632" s="5"/>
      <c r="C632" s="5"/>
      <c r="D632" s="5"/>
    </row>
    <row r="633">
      <c r="A633" s="5"/>
      <c r="B633" s="5"/>
      <c r="C633" s="5"/>
      <c r="D633" s="5"/>
    </row>
    <row r="634">
      <c r="A634" s="5"/>
      <c r="B634" s="5"/>
      <c r="C634" s="5"/>
      <c r="D634" s="5"/>
    </row>
    <row r="635">
      <c r="A635" s="5"/>
      <c r="B635" s="5"/>
      <c r="C635" s="5"/>
      <c r="D635" s="5"/>
    </row>
    <row r="636">
      <c r="A636" s="5"/>
      <c r="B636" s="5"/>
      <c r="C636" s="5"/>
      <c r="D636" s="5"/>
    </row>
    <row r="637">
      <c r="A637" s="5"/>
      <c r="B637" s="5"/>
      <c r="C637" s="5"/>
      <c r="D637" s="5"/>
    </row>
    <row r="638">
      <c r="A638" s="5"/>
      <c r="B638" s="5"/>
      <c r="C638" s="5"/>
      <c r="D638" s="5"/>
    </row>
    <row r="639">
      <c r="A639" s="5"/>
      <c r="B639" s="5"/>
      <c r="C639" s="5"/>
      <c r="D639" s="5"/>
    </row>
    <row r="640">
      <c r="A640" s="5"/>
      <c r="B640" s="5"/>
      <c r="C640" s="5"/>
      <c r="D640" s="5"/>
    </row>
    <row r="641">
      <c r="A641" s="5"/>
      <c r="B641" s="5"/>
      <c r="C641" s="5"/>
      <c r="D641" s="5"/>
    </row>
    <row r="642">
      <c r="A642" s="5"/>
      <c r="B642" s="5"/>
      <c r="C642" s="5"/>
      <c r="D642" s="5"/>
    </row>
    <row r="643">
      <c r="A643" s="5"/>
      <c r="B643" s="5"/>
      <c r="C643" s="5"/>
      <c r="D643" s="5"/>
    </row>
    <row r="644">
      <c r="A644" s="5"/>
      <c r="B644" s="5"/>
      <c r="C644" s="5"/>
      <c r="D644" s="5"/>
    </row>
    <row r="645">
      <c r="A645" s="5"/>
      <c r="B645" s="5"/>
      <c r="C645" s="5"/>
      <c r="D645" s="5"/>
    </row>
    <row r="646">
      <c r="A646" s="5"/>
      <c r="B646" s="5"/>
      <c r="C646" s="5"/>
      <c r="D646" s="5"/>
    </row>
    <row r="647">
      <c r="A647" s="5"/>
      <c r="B647" s="5"/>
      <c r="C647" s="5"/>
      <c r="D647" s="5"/>
    </row>
    <row r="648">
      <c r="A648" s="5"/>
      <c r="B648" s="5"/>
      <c r="C648" s="5"/>
      <c r="D648" s="5"/>
    </row>
    <row r="649">
      <c r="A649" s="5"/>
      <c r="B649" s="5"/>
      <c r="C649" s="5"/>
      <c r="D649" s="5"/>
    </row>
    <row r="650">
      <c r="A650" s="5"/>
      <c r="B650" s="5"/>
      <c r="C650" s="5"/>
      <c r="D650" s="5"/>
    </row>
    <row r="651">
      <c r="A651" s="5"/>
      <c r="B651" s="5"/>
      <c r="C651" s="5"/>
      <c r="D651" s="5"/>
    </row>
    <row r="652">
      <c r="A652" s="5"/>
      <c r="B652" s="5"/>
      <c r="C652" s="5"/>
      <c r="D652" s="5"/>
    </row>
    <row r="653">
      <c r="A653" s="5"/>
      <c r="B653" s="5"/>
      <c r="C653" s="5"/>
      <c r="D653" s="5"/>
    </row>
    <row r="654">
      <c r="A654" s="5"/>
      <c r="B654" s="5"/>
      <c r="C654" s="5"/>
      <c r="D654" s="5"/>
    </row>
    <row r="655">
      <c r="A655" s="5"/>
      <c r="B655" s="5"/>
      <c r="C655" s="5"/>
      <c r="D655" s="5"/>
    </row>
    <row r="656">
      <c r="A656" s="5"/>
      <c r="B656" s="5"/>
      <c r="C656" s="5"/>
      <c r="D656" s="5"/>
    </row>
    <row r="657">
      <c r="A657" s="5"/>
      <c r="B657" s="5"/>
      <c r="C657" s="5"/>
      <c r="D657" s="5"/>
    </row>
    <row r="658">
      <c r="A658" s="5"/>
      <c r="B658" s="5"/>
      <c r="C658" s="5"/>
      <c r="D658" s="5"/>
    </row>
    <row r="659">
      <c r="A659" s="5"/>
      <c r="B659" s="5"/>
      <c r="C659" s="5"/>
      <c r="D659" s="5"/>
    </row>
    <row r="660">
      <c r="A660" s="5"/>
      <c r="B660" s="5"/>
      <c r="C660" s="5"/>
      <c r="D660" s="5"/>
    </row>
    <row r="661">
      <c r="A661" s="5"/>
      <c r="B661" s="5"/>
      <c r="C661" s="5"/>
      <c r="D661" s="5"/>
    </row>
    <row r="662">
      <c r="A662" s="5"/>
      <c r="B662" s="5"/>
      <c r="C662" s="5"/>
      <c r="D662" s="5"/>
    </row>
    <row r="663">
      <c r="A663" s="5"/>
      <c r="B663" s="5"/>
      <c r="C663" s="5"/>
      <c r="D663" s="5"/>
    </row>
    <row r="664">
      <c r="A664" s="5"/>
      <c r="B664" s="5"/>
      <c r="C664" s="5"/>
      <c r="D664" s="5"/>
    </row>
    <row r="665">
      <c r="A665" s="5"/>
      <c r="B665" s="5"/>
      <c r="C665" s="5"/>
      <c r="D665" s="5"/>
    </row>
    <row r="666">
      <c r="A666" s="5"/>
      <c r="B666" s="5"/>
      <c r="C666" s="5"/>
      <c r="D666" s="5"/>
    </row>
    <row r="667">
      <c r="A667" s="5"/>
      <c r="B667" s="5"/>
      <c r="C667" s="5"/>
      <c r="D667" s="5"/>
    </row>
    <row r="668">
      <c r="A668" s="5"/>
      <c r="B668" s="5"/>
      <c r="C668" s="5"/>
      <c r="D668" s="5"/>
    </row>
    <row r="669">
      <c r="A669" s="5"/>
      <c r="B669" s="5"/>
      <c r="C669" s="5"/>
      <c r="D669" s="5"/>
    </row>
    <row r="670">
      <c r="A670" s="5"/>
      <c r="B670" s="5"/>
      <c r="C670" s="5"/>
      <c r="D670" s="5"/>
    </row>
    <row r="671">
      <c r="A671" s="5"/>
      <c r="B671" s="5"/>
      <c r="C671" s="5"/>
      <c r="D671" s="5"/>
    </row>
    <row r="672">
      <c r="A672" s="5"/>
      <c r="B672" s="5"/>
      <c r="C672" s="5"/>
      <c r="D672" s="5"/>
    </row>
    <row r="673">
      <c r="A673" s="5"/>
      <c r="B673" s="5"/>
      <c r="C673" s="5"/>
      <c r="D673" s="5"/>
    </row>
    <row r="674">
      <c r="A674" s="5"/>
      <c r="B674" s="5"/>
      <c r="C674" s="5"/>
      <c r="D674" s="5"/>
    </row>
    <row r="675">
      <c r="A675" s="5"/>
      <c r="B675" s="5"/>
      <c r="C675" s="5"/>
      <c r="D675" s="5"/>
    </row>
    <row r="676">
      <c r="A676" s="5"/>
      <c r="B676" s="5"/>
      <c r="C676" s="5"/>
      <c r="D676" s="5"/>
    </row>
    <row r="677">
      <c r="A677" s="5"/>
      <c r="B677" s="5"/>
      <c r="C677" s="5"/>
      <c r="D677" s="5"/>
    </row>
    <row r="678">
      <c r="A678" s="5"/>
      <c r="B678" s="5"/>
      <c r="C678" s="5"/>
      <c r="D678" s="5"/>
    </row>
    <row r="679">
      <c r="A679" s="5"/>
      <c r="B679" s="5"/>
      <c r="C679" s="5"/>
      <c r="D679" s="5"/>
    </row>
    <row r="680">
      <c r="A680" s="5"/>
      <c r="B680" s="5"/>
      <c r="C680" s="5"/>
      <c r="D680" s="5"/>
    </row>
    <row r="681">
      <c r="A681" s="5"/>
      <c r="B681" s="5"/>
      <c r="C681" s="5"/>
      <c r="D681" s="5"/>
    </row>
    <row r="682">
      <c r="A682" s="5"/>
      <c r="B682" s="5"/>
      <c r="C682" s="5"/>
      <c r="D682" s="5"/>
    </row>
    <row r="683">
      <c r="A683" s="5"/>
      <c r="B683" s="5"/>
      <c r="C683" s="5"/>
      <c r="D683" s="5"/>
    </row>
    <row r="684">
      <c r="A684" s="5"/>
      <c r="B684" s="5"/>
      <c r="C684" s="5"/>
      <c r="D684" s="5"/>
    </row>
    <row r="685">
      <c r="A685" s="5"/>
      <c r="B685" s="5"/>
      <c r="C685" s="5"/>
      <c r="D685" s="5"/>
    </row>
    <row r="686">
      <c r="A686" s="5"/>
      <c r="B686" s="5"/>
      <c r="C686" s="5"/>
      <c r="D686" s="5"/>
    </row>
    <row r="687">
      <c r="A687" s="5"/>
      <c r="B687" s="5"/>
      <c r="C687" s="5"/>
      <c r="D687" s="5"/>
    </row>
    <row r="688">
      <c r="A688" s="5"/>
      <c r="B688" s="5"/>
      <c r="C688" s="5"/>
      <c r="D688" s="5"/>
    </row>
    <row r="689">
      <c r="A689" s="5"/>
      <c r="B689" s="5"/>
      <c r="C689" s="5"/>
      <c r="D689" s="5"/>
    </row>
    <row r="690">
      <c r="A690" s="5"/>
      <c r="B690" s="5"/>
      <c r="C690" s="5"/>
      <c r="D690" s="5"/>
    </row>
    <row r="691">
      <c r="A691" s="5"/>
      <c r="B691" s="5"/>
      <c r="C691" s="5"/>
      <c r="D691" s="5"/>
    </row>
    <row r="692">
      <c r="A692" s="5"/>
      <c r="B692" s="5"/>
      <c r="C692" s="5"/>
      <c r="D692" s="5"/>
    </row>
    <row r="693">
      <c r="A693" s="5"/>
      <c r="B693" s="5"/>
      <c r="C693" s="5"/>
      <c r="D693" s="5"/>
    </row>
    <row r="694">
      <c r="A694" s="5"/>
      <c r="B694" s="5"/>
      <c r="C694" s="5"/>
      <c r="D694" s="5"/>
    </row>
    <row r="695">
      <c r="A695" s="5"/>
      <c r="B695" s="5"/>
      <c r="C695" s="5"/>
      <c r="D695" s="5"/>
    </row>
    <row r="696">
      <c r="A696" s="5"/>
      <c r="B696" s="5"/>
      <c r="C696" s="5"/>
      <c r="D696" s="5"/>
    </row>
    <row r="697">
      <c r="A697" s="5"/>
      <c r="B697" s="5"/>
      <c r="C697" s="5"/>
      <c r="D697" s="5"/>
    </row>
    <row r="698">
      <c r="A698" s="5"/>
      <c r="B698" s="5"/>
      <c r="C698" s="5"/>
      <c r="D698" s="5"/>
    </row>
    <row r="699">
      <c r="A699" s="5"/>
      <c r="B699" s="5"/>
      <c r="C699" s="5"/>
      <c r="D699" s="5"/>
    </row>
    <row r="700">
      <c r="A700" s="5"/>
      <c r="B700" s="5"/>
      <c r="C700" s="5"/>
      <c r="D700" s="5"/>
    </row>
    <row r="701">
      <c r="A701" s="5"/>
      <c r="B701" s="5"/>
      <c r="C701" s="5"/>
      <c r="D701" s="5"/>
    </row>
    <row r="702">
      <c r="A702" s="5"/>
      <c r="B702" s="5"/>
      <c r="C702" s="5"/>
      <c r="D702" s="5"/>
    </row>
    <row r="703">
      <c r="A703" s="5"/>
      <c r="B703" s="5"/>
      <c r="C703" s="5"/>
      <c r="D703" s="5"/>
    </row>
    <row r="704">
      <c r="A704" s="5"/>
      <c r="B704" s="5"/>
      <c r="C704" s="5"/>
      <c r="D704" s="5"/>
    </row>
    <row r="705">
      <c r="A705" s="5"/>
      <c r="B705" s="5"/>
      <c r="C705" s="5"/>
      <c r="D705" s="5"/>
    </row>
    <row r="706">
      <c r="A706" s="5"/>
      <c r="B706" s="5"/>
      <c r="C706" s="5"/>
      <c r="D706" s="5"/>
    </row>
    <row r="707">
      <c r="A707" s="5"/>
      <c r="B707" s="5"/>
      <c r="C707" s="5"/>
      <c r="D707" s="5"/>
    </row>
    <row r="708">
      <c r="A708" s="5"/>
      <c r="B708" s="5"/>
      <c r="C708" s="5"/>
      <c r="D708" s="5"/>
    </row>
    <row r="709">
      <c r="A709" s="5"/>
      <c r="B709" s="5"/>
      <c r="C709" s="5"/>
      <c r="D709" s="5"/>
    </row>
    <row r="710">
      <c r="A710" s="5"/>
      <c r="B710" s="5"/>
      <c r="C710" s="5"/>
      <c r="D710" s="5"/>
    </row>
    <row r="711">
      <c r="A711" s="5"/>
      <c r="B711" s="5"/>
      <c r="C711" s="5"/>
      <c r="D711" s="5"/>
    </row>
    <row r="712">
      <c r="A712" s="5"/>
      <c r="B712" s="5"/>
      <c r="C712" s="5"/>
      <c r="D712" s="5"/>
    </row>
    <row r="713">
      <c r="A713" s="5"/>
      <c r="B713" s="5"/>
      <c r="C713" s="5"/>
      <c r="D713" s="5"/>
    </row>
    <row r="714">
      <c r="A714" s="5"/>
      <c r="B714" s="5"/>
      <c r="C714" s="5"/>
      <c r="D714" s="5"/>
    </row>
    <row r="715">
      <c r="A715" s="5"/>
      <c r="B715" s="5"/>
      <c r="C715" s="5"/>
      <c r="D715" s="5"/>
    </row>
    <row r="716">
      <c r="A716" s="5"/>
      <c r="B716" s="5"/>
      <c r="C716" s="5"/>
      <c r="D716" s="5"/>
    </row>
    <row r="717">
      <c r="A717" s="5"/>
      <c r="B717" s="5"/>
      <c r="C717" s="5"/>
      <c r="D717" s="5"/>
    </row>
    <row r="718">
      <c r="A718" s="5"/>
      <c r="B718" s="5"/>
      <c r="C718" s="5"/>
      <c r="D718" s="5"/>
    </row>
    <row r="719">
      <c r="A719" s="5"/>
      <c r="B719" s="5"/>
      <c r="C719" s="5"/>
      <c r="D719" s="5"/>
    </row>
    <row r="720">
      <c r="A720" s="5"/>
      <c r="B720" s="5"/>
      <c r="C720" s="5"/>
      <c r="D720" s="5"/>
    </row>
    <row r="721">
      <c r="A721" s="5"/>
      <c r="B721" s="5"/>
      <c r="C721" s="5"/>
      <c r="D721" s="5"/>
    </row>
    <row r="722">
      <c r="A722" s="5"/>
      <c r="B722" s="5"/>
      <c r="C722" s="5"/>
      <c r="D722" s="5"/>
    </row>
    <row r="723">
      <c r="A723" s="5"/>
      <c r="B723" s="5"/>
      <c r="C723" s="5"/>
      <c r="D723" s="5"/>
    </row>
    <row r="724">
      <c r="A724" s="5"/>
      <c r="B724" s="5"/>
      <c r="C724" s="5"/>
      <c r="D724" s="5"/>
    </row>
    <row r="725">
      <c r="A725" s="5"/>
      <c r="B725" s="5"/>
      <c r="C725" s="5"/>
      <c r="D725" s="5"/>
    </row>
    <row r="726">
      <c r="A726" s="5"/>
      <c r="B726" s="5"/>
      <c r="C726" s="5"/>
      <c r="D726" s="5"/>
    </row>
    <row r="727">
      <c r="A727" s="5"/>
      <c r="B727" s="5"/>
      <c r="C727" s="5"/>
      <c r="D727" s="5"/>
    </row>
    <row r="728">
      <c r="A728" s="5"/>
      <c r="B728" s="5"/>
      <c r="C728" s="5"/>
      <c r="D728" s="5"/>
    </row>
    <row r="729">
      <c r="A729" s="5"/>
      <c r="B729" s="5"/>
      <c r="C729" s="5"/>
      <c r="D729" s="5"/>
    </row>
    <row r="730">
      <c r="A730" s="5"/>
      <c r="B730" s="5"/>
      <c r="C730" s="5"/>
      <c r="D730" s="5"/>
    </row>
    <row r="731">
      <c r="A731" s="5"/>
      <c r="B731" s="5"/>
      <c r="C731" s="5"/>
      <c r="D731" s="5"/>
    </row>
    <row r="732">
      <c r="A732" s="5"/>
      <c r="B732" s="5"/>
      <c r="C732" s="5"/>
      <c r="D732" s="5"/>
    </row>
    <row r="733">
      <c r="A733" s="5"/>
      <c r="B733" s="5"/>
      <c r="C733" s="5"/>
      <c r="D733" s="5"/>
    </row>
    <row r="734">
      <c r="A734" s="5"/>
      <c r="B734" s="5"/>
      <c r="C734" s="5"/>
      <c r="D734" s="5"/>
    </row>
    <row r="735">
      <c r="A735" s="5"/>
      <c r="B735" s="5"/>
      <c r="C735" s="5"/>
      <c r="D735" s="5"/>
    </row>
    <row r="736">
      <c r="A736" s="5"/>
      <c r="B736" s="5"/>
      <c r="C736" s="5"/>
      <c r="D736" s="5"/>
    </row>
    <row r="737">
      <c r="A737" s="5"/>
      <c r="B737" s="5"/>
      <c r="C737" s="5"/>
      <c r="D737" s="5"/>
    </row>
    <row r="738">
      <c r="A738" s="5"/>
      <c r="B738" s="5"/>
      <c r="C738" s="5"/>
      <c r="D738" s="5"/>
    </row>
    <row r="739">
      <c r="A739" s="5"/>
      <c r="B739" s="5"/>
      <c r="C739" s="5"/>
      <c r="D739" s="5"/>
    </row>
    <row r="740">
      <c r="A740" s="5"/>
      <c r="B740" s="5"/>
      <c r="C740" s="5"/>
      <c r="D740" s="5"/>
    </row>
    <row r="741">
      <c r="A741" s="5"/>
      <c r="B741" s="5"/>
      <c r="C741" s="5"/>
      <c r="D741" s="5"/>
    </row>
    <row r="742">
      <c r="A742" s="5"/>
      <c r="B742" s="5"/>
      <c r="C742" s="5"/>
      <c r="D742" s="5"/>
    </row>
    <row r="743">
      <c r="A743" s="5"/>
      <c r="B743" s="5"/>
      <c r="C743" s="5"/>
      <c r="D743" s="5"/>
    </row>
    <row r="744">
      <c r="A744" s="5"/>
      <c r="B744" s="5"/>
      <c r="C744" s="5"/>
      <c r="D744" s="5"/>
    </row>
    <row r="745">
      <c r="A745" s="5"/>
      <c r="B745" s="5"/>
      <c r="C745" s="5"/>
      <c r="D745" s="5"/>
    </row>
    <row r="746">
      <c r="A746" s="5"/>
      <c r="B746" s="5"/>
      <c r="C746" s="5"/>
      <c r="D746" s="5"/>
    </row>
    <row r="747">
      <c r="A747" s="5"/>
      <c r="B747" s="5"/>
      <c r="C747" s="5"/>
      <c r="D747" s="5"/>
    </row>
    <row r="748">
      <c r="A748" s="5"/>
      <c r="B748" s="5"/>
      <c r="C748" s="5"/>
      <c r="D748" s="5"/>
    </row>
    <row r="749">
      <c r="A749" s="5"/>
      <c r="B749" s="5"/>
      <c r="C749" s="5"/>
      <c r="D749" s="5"/>
    </row>
    <row r="750">
      <c r="A750" s="5"/>
      <c r="B750" s="5"/>
      <c r="C750" s="5"/>
      <c r="D750" s="5"/>
    </row>
    <row r="751">
      <c r="A751" s="5"/>
      <c r="B751" s="5"/>
      <c r="C751" s="5"/>
      <c r="D751" s="5"/>
    </row>
    <row r="752">
      <c r="A752" s="5"/>
      <c r="B752" s="5"/>
      <c r="C752" s="5"/>
      <c r="D752" s="5"/>
    </row>
    <row r="753">
      <c r="A753" s="5"/>
      <c r="B753" s="5"/>
      <c r="C753" s="5"/>
      <c r="D753" s="5"/>
    </row>
    <row r="754">
      <c r="A754" s="5"/>
      <c r="B754" s="5"/>
      <c r="C754" s="5"/>
      <c r="D754" s="5"/>
    </row>
    <row r="755">
      <c r="A755" s="5"/>
      <c r="B755" s="5"/>
      <c r="C755" s="5"/>
      <c r="D755" s="5"/>
    </row>
    <row r="756">
      <c r="A756" s="5"/>
      <c r="B756" s="5"/>
      <c r="C756" s="5"/>
      <c r="D756" s="5"/>
    </row>
    <row r="757">
      <c r="A757" s="5"/>
      <c r="B757" s="5"/>
      <c r="C757" s="5"/>
      <c r="D757" s="5"/>
    </row>
    <row r="758">
      <c r="A758" s="5"/>
      <c r="B758" s="5"/>
      <c r="C758" s="5"/>
      <c r="D758" s="5"/>
    </row>
    <row r="759">
      <c r="A759" s="5"/>
      <c r="B759" s="5"/>
      <c r="C759" s="5"/>
      <c r="D759" s="5"/>
    </row>
    <row r="760">
      <c r="A760" s="5"/>
      <c r="B760" s="5"/>
      <c r="C760" s="5"/>
      <c r="D760" s="5"/>
    </row>
    <row r="761">
      <c r="A761" s="5"/>
      <c r="B761" s="5"/>
      <c r="C761" s="5"/>
      <c r="D761" s="5"/>
    </row>
    <row r="762">
      <c r="A762" s="5"/>
      <c r="B762" s="5"/>
      <c r="C762" s="5"/>
      <c r="D762" s="5"/>
    </row>
    <row r="763">
      <c r="A763" s="5"/>
      <c r="B763" s="5"/>
      <c r="C763" s="5"/>
      <c r="D763" s="5"/>
    </row>
    <row r="764">
      <c r="A764" s="5"/>
      <c r="B764" s="5"/>
      <c r="C764" s="5"/>
      <c r="D764" s="5"/>
    </row>
    <row r="765">
      <c r="A765" s="5"/>
      <c r="B765" s="5"/>
      <c r="C765" s="5"/>
      <c r="D765" s="5"/>
    </row>
    <row r="766">
      <c r="A766" s="5"/>
      <c r="B766" s="5"/>
      <c r="C766" s="5"/>
      <c r="D766" s="5"/>
    </row>
    <row r="767">
      <c r="A767" s="5"/>
      <c r="B767" s="5"/>
      <c r="C767" s="5"/>
      <c r="D767" s="5"/>
    </row>
    <row r="768">
      <c r="A768" s="5"/>
      <c r="B768" s="5"/>
      <c r="C768" s="5"/>
      <c r="D768" s="5"/>
    </row>
    <row r="769">
      <c r="A769" s="5"/>
      <c r="B769" s="5"/>
      <c r="C769" s="5"/>
      <c r="D769" s="5"/>
    </row>
    <row r="770">
      <c r="A770" s="5"/>
      <c r="B770" s="5"/>
      <c r="C770" s="5"/>
      <c r="D770" s="5"/>
    </row>
    <row r="771">
      <c r="A771" s="5"/>
      <c r="B771" s="5"/>
      <c r="C771" s="5"/>
      <c r="D771" s="5"/>
    </row>
    <row r="772">
      <c r="A772" s="5"/>
      <c r="B772" s="5"/>
      <c r="C772" s="5"/>
      <c r="D772" s="5"/>
    </row>
    <row r="773">
      <c r="A773" s="5"/>
      <c r="B773" s="5"/>
      <c r="C773" s="5"/>
      <c r="D773" s="5"/>
    </row>
    <row r="774">
      <c r="A774" s="5"/>
      <c r="B774" s="5"/>
      <c r="C774" s="5"/>
      <c r="D774" s="5"/>
    </row>
    <row r="775">
      <c r="A775" s="5"/>
      <c r="B775" s="5"/>
      <c r="C775" s="5"/>
      <c r="D775" s="5"/>
    </row>
    <row r="776">
      <c r="A776" s="5"/>
      <c r="B776" s="5"/>
      <c r="C776" s="5"/>
      <c r="D776" s="5"/>
    </row>
    <row r="777">
      <c r="A777" s="5"/>
      <c r="B777" s="5"/>
      <c r="C777" s="5"/>
      <c r="D777" s="5"/>
    </row>
    <row r="778">
      <c r="A778" s="5"/>
      <c r="B778" s="5"/>
      <c r="C778" s="5"/>
      <c r="D778" s="5"/>
    </row>
    <row r="779">
      <c r="A779" s="5"/>
      <c r="B779" s="5"/>
      <c r="C779" s="5"/>
      <c r="D779" s="5"/>
    </row>
    <row r="780">
      <c r="A780" s="5"/>
      <c r="B780" s="5"/>
      <c r="C780" s="5"/>
      <c r="D780" s="5"/>
    </row>
    <row r="781">
      <c r="A781" s="5"/>
      <c r="B781" s="5"/>
      <c r="C781" s="5"/>
      <c r="D781" s="5"/>
    </row>
    <row r="782">
      <c r="A782" s="5"/>
      <c r="B782" s="5"/>
      <c r="C782" s="5"/>
      <c r="D782" s="5"/>
    </row>
    <row r="783">
      <c r="A783" s="5"/>
      <c r="B783" s="5"/>
      <c r="C783" s="5"/>
      <c r="D783" s="5"/>
    </row>
    <row r="784">
      <c r="A784" s="5"/>
      <c r="B784" s="5"/>
      <c r="C784" s="5"/>
      <c r="D784" s="5"/>
    </row>
    <row r="785">
      <c r="A785" s="5"/>
      <c r="B785" s="5"/>
      <c r="C785" s="5"/>
      <c r="D785" s="5"/>
    </row>
    <row r="786">
      <c r="A786" s="5"/>
      <c r="B786" s="5"/>
      <c r="C786" s="5"/>
      <c r="D786" s="5"/>
    </row>
    <row r="787">
      <c r="A787" s="5"/>
      <c r="B787" s="5"/>
      <c r="C787" s="5"/>
      <c r="D787" s="5"/>
    </row>
    <row r="788">
      <c r="A788" s="5"/>
      <c r="B788" s="5"/>
      <c r="C788" s="5"/>
      <c r="D788" s="5"/>
    </row>
    <row r="789">
      <c r="A789" s="5"/>
      <c r="B789" s="5"/>
      <c r="C789" s="5"/>
      <c r="D789" s="5"/>
    </row>
    <row r="790">
      <c r="A790" s="5"/>
      <c r="B790" s="5"/>
      <c r="C790" s="5"/>
      <c r="D790" s="5"/>
    </row>
    <row r="791">
      <c r="A791" s="5"/>
      <c r="B791" s="5"/>
      <c r="C791" s="5"/>
      <c r="D791" s="5"/>
    </row>
    <row r="792">
      <c r="A792" s="5"/>
      <c r="B792" s="5"/>
      <c r="C792" s="5"/>
      <c r="D792" s="5"/>
    </row>
    <row r="793">
      <c r="A793" s="5"/>
      <c r="B793" s="5"/>
      <c r="C793" s="5"/>
      <c r="D793" s="5"/>
    </row>
    <row r="794">
      <c r="A794" s="5"/>
      <c r="B794" s="5"/>
      <c r="C794" s="5"/>
      <c r="D794" s="5"/>
    </row>
    <row r="795">
      <c r="A795" s="5"/>
      <c r="B795" s="5"/>
      <c r="C795" s="5"/>
      <c r="D795" s="5"/>
    </row>
    <row r="796">
      <c r="A796" s="5"/>
      <c r="B796" s="5"/>
      <c r="C796" s="5"/>
      <c r="D796" s="5"/>
    </row>
    <row r="797">
      <c r="A797" s="5"/>
      <c r="B797" s="5"/>
      <c r="C797" s="5"/>
      <c r="D797" s="5"/>
    </row>
    <row r="798">
      <c r="A798" s="5"/>
      <c r="B798" s="5"/>
      <c r="C798" s="5"/>
      <c r="D798" s="5"/>
    </row>
    <row r="799">
      <c r="A799" s="5"/>
      <c r="B799" s="5"/>
      <c r="C799" s="5"/>
      <c r="D799" s="5"/>
    </row>
    <row r="800">
      <c r="A800" s="5"/>
      <c r="B800" s="5"/>
      <c r="C800" s="5"/>
      <c r="D800" s="5"/>
    </row>
    <row r="801">
      <c r="A801" s="5"/>
      <c r="B801" s="5"/>
      <c r="C801" s="5"/>
      <c r="D801" s="5"/>
    </row>
    <row r="802">
      <c r="A802" s="5"/>
      <c r="B802" s="5"/>
      <c r="C802" s="5"/>
      <c r="D802" s="5"/>
    </row>
    <row r="803">
      <c r="A803" s="5"/>
      <c r="B803" s="5"/>
      <c r="C803" s="5"/>
      <c r="D803" s="5"/>
    </row>
    <row r="804">
      <c r="A804" s="5"/>
      <c r="B804" s="5"/>
      <c r="C804" s="5"/>
      <c r="D804" s="5"/>
    </row>
    <row r="805">
      <c r="A805" s="5"/>
      <c r="B805" s="5"/>
      <c r="C805" s="5"/>
      <c r="D805" s="5"/>
    </row>
    <row r="806">
      <c r="A806" s="5"/>
      <c r="B806" s="5"/>
      <c r="C806" s="5"/>
      <c r="D806" s="5"/>
    </row>
    <row r="807">
      <c r="A807" s="5"/>
      <c r="B807" s="5"/>
      <c r="C807" s="5"/>
      <c r="D807" s="5"/>
    </row>
    <row r="808">
      <c r="A808" s="5"/>
      <c r="B808" s="5"/>
      <c r="C808" s="5"/>
      <c r="D808" s="5"/>
    </row>
    <row r="809">
      <c r="A809" s="5"/>
      <c r="B809" s="5"/>
      <c r="C809" s="5"/>
      <c r="D809" s="5"/>
    </row>
    <row r="810">
      <c r="A810" s="5"/>
      <c r="B810" s="5"/>
      <c r="C810" s="5"/>
      <c r="D810" s="5"/>
    </row>
    <row r="811">
      <c r="A811" s="5"/>
      <c r="B811" s="5"/>
      <c r="C811" s="5"/>
      <c r="D811" s="5"/>
    </row>
    <row r="812">
      <c r="A812" s="5"/>
      <c r="B812" s="5"/>
      <c r="C812" s="5"/>
      <c r="D812" s="5"/>
    </row>
    <row r="813">
      <c r="A813" s="5"/>
      <c r="B813" s="5"/>
      <c r="C813" s="5"/>
      <c r="D813" s="5"/>
    </row>
    <row r="814">
      <c r="A814" s="5"/>
      <c r="B814" s="5"/>
      <c r="C814" s="5"/>
      <c r="D814" s="5"/>
    </row>
    <row r="815">
      <c r="A815" s="5"/>
      <c r="B815" s="5"/>
      <c r="C815" s="5"/>
      <c r="D815" s="5"/>
    </row>
    <row r="816">
      <c r="A816" s="5"/>
      <c r="B816" s="5"/>
      <c r="C816" s="5"/>
      <c r="D816" s="5"/>
    </row>
    <row r="817">
      <c r="A817" s="5"/>
      <c r="B817" s="5"/>
      <c r="C817" s="5"/>
      <c r="D817" s="5"/>
    </row>
    <row r="818">
      <c r="A818" s="5"/>
      <c r="B818" s="5"/>
      <c r="C818" s="5"/>
      <c r="D818" s="5"/>
    </row>
    <row r="819">
      <c r="A819" s="5"/>
      <c r="B819" s="5"/>
      <c r="C819" s="5"/>
      <c r="D819" s="5"/>
    </row>
    <row r="820">
      <c r="A820" s="5"/>
      <c r="B820" s="5"/>
      <c r="C820" s="5"/>
      <c r="D820" s="5"/>
    </row>
    <row r="821">
      <c r="A821" s="5"/>
      <c r="B821" s="5"/>
      <c r="C821" s="5"/>
      <c r="D821" s="5"/>
    </row>
    <row r="822">
      <c r="A822" s="5"/>
      <c r="B822" s="5"/>
      <c r="C822" s="5"/>
      <c r="D822" s="5"/>
    </row>
    <row r="823">
      <c r="A823" s="5"/>
      <c r="B823" s="5"/>
      <c r="C823" s="5"/>
      <c r="D823" s="5"/>
    </row>
    <row r="824">
      <c r="A824" s="5"/>
      <c r="B824" s="5"/>
      <c r="C824" s="5"/>
      <c r="D824" s="5"/>
    </row>
    <row r="825">
      <c r="A825" s="5"/>
      <c r="B825" s="5"/>
      <c r="C825" s="5"/>
      <c r="D825" s="5"/>
    </row>
    <row r="826">
      <c r="A826" s="5"/>
      <c r="B826" s="5"/>
      <c r="C826" s="5"/>
      <c r="D826" s="5"/>
    </row>
    <row r="827">
      <c r="A827" s="5"/>
      <c r="B827" s="5"/>
      <c r="C827" s="5"/>
      <c r="D827" s="5"/>
    </row>
    <row r="828">
      <c r="A828" s="5"/>
      <c r="B828" s="5"/>
      <c r="C828" s="5"/>
      <c r="D828" s="5"/>
    </row>
    <row r="829">
      <c r="A829" s="5"/>
      <c r="B829" s="5"/>
      <c r="C829" s="5"/>
      <c r="D829" s="5"/>
    </row>
    <row r="830">
      <c r="A830" s="5"/>
      <c r="B830" s="5"/>
      <c r="C830" s="5"/>
      <c r="D830" s="5"/>
    </row>
    <row r="831">
      <c r="A831" s="5"/>
      <c r="B831" s="5"/>
      <c r="C831" s="5"/>
      <c r="D831" s="5"/>
    </row>
    <row r="832">
      <c r="A832" s="5"/>
      <c r="B832" s="5"/>
      <c r="C832" s="5"/>
      <c r="D832" s="5"/>
    </row>
    <row r="833">
      <c r="A833" s="5"/>
      <c r="B833" s="5"/>
      <c r="C833" s="5"/>
      <c r="D833" s="5"/>
    </row>
    <row r="834">
      <c r="A834" s="5"/>
      <c r="B834" s="5"/>
      <c r="C834" s="5"/>
      <c r="D834" s="5"/>
    </row>
    <row r="835">
      <c r="A835" s="5"/>
      <c r="B835" s="5"/>
      <c r="C835" s="5"/>
      <c r="D835" s="5"/>
    </row>
    <row r="836">
      <c r="A836" s="5"/>
      <c r="B836" s="5"/>
      <c r="C836" s="5"/>
      <c r="D836" s="5"/>
    </row>
    <row r="837">
      <c r="A837" s="5"/>
      <c r="B837" s="5"/>
      <c r="C837" s="5"/>
      <c r="D837" s="5"/>
    </row>
    <row r="838">
      <c r="A838" s="5"/>
      <c r="B838" s="5"/>
      <c r="C838" s="5"/>
      <c r="D838" s="5"/>
    </row>
    <row r="839">
      <c r="A839" s="5"/>
      <c r="B839" s="5"/>
      <c r="C839" s="5"/>
      <c r="D839" s="5"/>
    </row>
    <row r="840">
      <c r="A840" s="5"/>
      <c r="B840" s="5"/>
      <c r="C840" s="5"/>
      <c r="D840" s="5"/>
    </row>
    <row r="841">
      <c r="A841" s="5"/>
      <c r="B841" s="5"/>
      <c r="C841" s="5"/>
      <c r="D841" s="5"/>
    </row>
    <row r="842">
      <c r="A842" s="5"/>
      <c r="B842" s="5"/>
      <c r="C842" s="5"/>
      <c r="D842" s="5"/>
    </row>
    <row r="843">
      <c r="A843" s="5"/>
      <c r="B843" s="5"/>
      <c r="C843" s="5"/>
      <c r="D843" s="5"/>
    </row>
    <row r="844">
      <c r="A844" s="5"/>
      <c r="B844" s="5"/>
      <c r="C844" s="5"/>
      <c r="D844" s="5"/>
    </row>
    <row r="845">
      <c r="A845" s="5"/>
      <c r="B845" s="5"/>
      <c r="C845" s="5"/>
      <c r="D845" s="5"/>
    </row>
    <row r="846">
      <c r="A846" s="5"/>
      <c r="B846" s="5"/>
      <c r="C846" s="5"/>
      <c r="D846" s="5"/>
    </row>
    <row r="847">
      <c r="A847" s="5"/>
      <c r="B847" s="5"/>
      <c r="C847" s="5"/>
      <c r="D847" s="5"/>
    </row>
    <row r="848">
      <c r="A848" s="5"/>
      <c r="B848" s="5"/>
      <c r="C848" s="5"/>
      <c r="D848" s="5"/>
    </row>
    <row r="849">
      <c r="A849" s="5"/>
      <c r="B849" s="5"/>
      <c r="C849" s="5"/>
      <c r="D849" s="5"/>
    </row>
    <row r="850">
      <c r="A850" s="5"/>
      <c r="B850" s="5"/>
      <c r="C850" s="5"/>
      <c r="D850" s="5"/>
    </row>
    <row r="851">
      <c r="A851" s="5"/>
      <c r="B851" s="5"/>
      <c r="C851" s="5"/>
      <c r="D851" s="5"/>
    </row>
    <row r="852">
      <c r="A852" s="5"/>
      <c r="B852" s="5"/>
      <c r="C852" s="5"/>
      <c r="D852" s="5"/>
    </row>
    <row r="853">
      <c r="A853" s="5"/>
      <c r="B853" s="5"/>
      <c r="C853" s="5"/>
      <c r="D853" s="5"/>
    </row>
    <row r="854">
      <c r="A854" s="5"/>
      <c r="B854" s="5"/>
      <c r="C854" s="5"/>
      <c r="D854" s="5"/>
    </row>
    <row r="855">
      <c r="A855" s="5"/>
      <c r="B855" s="5"/>
      <c r="C855" s="5"/>
      <c r="D855" s="5"/>
    </row>
    <row r="856">
      <c r="A856" s="5"/>
      <c r="B856" s="5"/>
      <c r="C856" s="5"/>
      <c r="D856" s="5"/>
    </row>
    <row r="857">
      <c r="A857" s="5"/>
      <c r="B857" s="5"/>
      <c r="C857" s="5"/>
      <c r="D857" s="5"/>
    </row>
    <row r="858">
      <c r="A858" s="5"/>
      <c r="B858" s="5"/>
      <c r="C858" s="5"/>
      <c r="D858" s="5"/>
    </row>
    <row r="859">
      <c r="A859" s="5"/>
      <c r="B859" s="5"/>
      <c r="C859" s="5"/>
      <c r="D859" s="5"/>
    </row>
    <row r="860">
      <c r="A860" s="5"/>
      <c r="B860" s="5"/>
      <c r="C860" s="5"/>
      <c r="D860" s="5"/>
    </row>
    <row r="861">
      <c r="A861" s="5"/>
      <c r="B861" s="5"/>
      <c r="C861" s="5"/>
      <c r="D861" s="5"/>
    </row>
    <row r="862">
      <c r="A862" s="5"/>
      <c r="B862" s="5"/>
      <c r="C862" s="5"/>
      <c r="D862" s="5"/>
    </row>
    <row r="863">
      <c r="A863" s="5"/>
      <c r="B863" s="5"/>
      <c r="C863" s="5"/>
      <c r="D863" s="5"/>
    </row>
    <row r="864">
      <c r="A864" s="5"/>
      <c r="B864" s="5"/>
      <c r="C864" s="5"/>
      <c r="D864" s="5"/>
    </row>
    <row r="865">
      <c r="A865" s="5"/>
      <c r="B865" s="5"/>
      <c r="C865" s="5"/>
      <c r="D865" s="5"/>
    </row>
    <row r="866">
      <c r="A866" s="5"/>
      <c r="B866" s="5"/>
      <c r="C866" s="5"/>
      <c r="D866" s="5"/>
    </row>
    <row r="867">
      <c r="A867" s="5"/>
      <c r="B867" s="5"/>
      <c r="C867" s="5"/>
      <c r="D867" s="5"/>
    </row>
    <row r="868">
      <c r="A868" s="5"/>
      <c r="B868" s="5"/>
      <c r="C868" s="5"/>
      <c r="D868" s="5"/>
    </row>
    <row r="869">
      <c r="A869" s="5"/>
      <c r="B869" s="5"/>
      <c r="C869" s="5"/>
      <c r="D869" s="5"/>
    </row>
    <row r="870">
      <c r="A870" s="5"/>
      <c r="B870" s="5"/>
      <c r="C870" s="5"/>
      <c r="D870" s="5"/>
    </row>
    <row r="871">
      <c r="A871" s="5"/>
      <c r="B871" s="5"/>
      <c r="C871" s="5"/>
      <c r="D871" s="5"/>
    </row>
    <row r="872">
      <c r="A872" s="5"/>
      <c r="B872" s="5"/>
      <c r="C872" s="5"/>
      <c r="D872" s="5"/>
    </row>
    <row r="873">
      <c r="A873" s="5"/>
      <c r="B873" s="5"/>
      <c r="C873" s="5"/>
      <c r="D873" s="5"/>
    </row>
    <row r="874">
      <c r="A874" s="5"/>
      <c r="B874" s="5"/>
      <c r="C874" s="5"/>
      <c r="D874" s="5"/>
    </row>
    <row r="875">
      <c r="A875" s="5"/>
      <c r="B875" s="5"/>
      <c r="C875" s="5"/>
      <c r="D875" s="5"/>
    </row>
    <row r="876">
      <c r="A876" s="5"/>
      <c r="B876" s="5"/>
      <c r="C876" s="5"/>
      <c r="D876" s="5"/>
    </row>
    <row r="877">
      <c r="A877" s="5"/>
      <c r="B877" s="5"/>
      <c r="C877" s="5"/>
      <c r="D877" s="5"/>
    </row>
    <row r="878">
      <c r="A878" s="5"/>
      <c r="B878" s="5"/>
      <c r="C878" s="5"/>
      <c r="D878" s="5"/>
    </row>
    <row r="879">
      <c r="A879" s="5"/>
      <c r="B879" s="5"/>
      <c r="C879" s="5"/>
      <c r="D879" s="5"/>
    </row>
    <row r="880">
      <c r="A880" s="5"/>
      <c r="B880" s="5"/>
      <c r="C880" s="5"/>
      <c r="D880" s="5"/>
    </row>
    <row r="881">
      <c r="A881" s="5"/>
      <c r="B881" s="5"/>
      <c r="C881" s="5"/>
      <c r="D881" s="5"/>
    </row>
    <row r="882">
      <c r="A882" s="5"/>
      <c r="B882" s="5"/>
      <c r="C882" s="5"/>
      <c r="D882" s="5"/>
    </row>
    <row r="883">
      <c r="A883" s="5"/>
      <c r="B883" s="5"/>
      <c r="C883" s="5"/>
      <c r="D883" s="5"/>
    </row>
    <row r="884">
      <c r="A884" s="5"/>
      <c r="B884" s="5"/>
      <c r="C884" s="5"/>
      <c r="D884" s="5"/>
    </row>
    <row r="885">
      <c r="A885" s="5"/>
      <c r="B885" s="5"/>
      <c r="C885" s="5"/>
      <c r="D885" s="5"/>
    </row>
    <row r="886">
      <c r="A886" s="5"/>
      <c r="B886" s="5"/>
      <c r="C886" s="5"/>
      <c r="D886" s="5"/>
    </row>
    <row r="887">
      <c r="A887" s="5"/>
      <c r="B887" s="5"/>
      <c r="C887" s="5"/>
      <c r="D887" s="5"/>
    </row>
    <row r="888">
      <c r="A888" s="5"/>
      <c r="B888" s="5"/>
      <c r="C888" s="5"/>
      <c r="D888" s="5"/>
    </row>
    <row r="889">
      <c r="A889" s="5"/>
      <c r="B889" s="5"/>
      <c r="C889" s="5"/>
      <c r="D889" s="5"/>
    </row>
    <row r="890">
      <c r="A890" s="5"/>
      <c r="B890" s="5"/>
      <c r="C890" s="5"/>
      <c r="D890" s="5"/>
    </row>
    <row r="891">
      <c r="A891" s="5"/>
      <c r="B891" s="5"/>
      <c r="C891" s="5"/>
      <c r="D891" s="5"/>
    </row>
    <row r="892">
      <c r="A892" s="5"/>
      <c r="B892" s="5"/>
      <c r="C892" s="5"/>
      <c r="D892" s="5"/>
    </row>
    <row r="893">
      <c r="A893" s="5"/>
      <c r="B893" s="5"/>
      <c r="C893" s="5"/>
      <c r="D893" s="5"/>
    </row>
    <row r="894">
      <c r="A894" s="5"/>
      <c r="B894" s="5"/>
      <c r="C894" s="5"/>
      <c r="D894" s="5"/>
    </row>
    <row r="895">
      <c r="A895" s="5"/>
      <c r="B895" s="5"/>
      <c r="C895" s="5"/>
      <c r="D895" s="5"/>
    </row>
    <row r="896">
      <c r="A896" s="5"/>
      <c r="B896" s="5"/>
      <c r="C896" s="5"/>
      <c r="D896" s="5"/>
    </row>
    <row r="897">
      <c r="A897" s="5"/>
      <c r="B897" s="5"/>
      <c r="C897" s="5"/>
      <c r="D897" s="5"/>
    </row>
    <row r="898">
      <c r="A898" s="5"/>
      <c r="B898" s="5"/>
      <c r="C898" s="5"/>
      <c r="D898" s="5"/>
    </row>
    <row r="899">
      <c r="A899" s="5"/>
      <c r="B899" s="5"/>
      <c r="C899" s="5"/>
      <c r="D899" s="5"/>
    </row>
    <row r="900">
      <c r="A900" s="5"/>
      <c r="B900" s="5"/>
      <c r="C900" s="5"/>
      <c r="D900" s="5"/>
    </row>
    <row r="901">
      <c r="A901" s="5"/>
      <c r="B901" s="5"/>
      <c r="C901" s="5"/>
      <c r="D901" s="5"/>
    </row>
    <row r="902">
      <c r="A902" s="5"/>
      <c r="B902" s="5"/>
      <c r="C902" s="5"/>
      <c r="D902" s="5"/>
    </row>
    <row r="903">
      <c r="A903" s="5"/>
      <c r="B903" s="5"/>
      <c r="C903" s="5"/>
      <c r="D903" s="5"/>
    </row>
    <row r="904">
      <c r="A904" s="5"/>
      <c r="B904" s="5"/>
      <c r="C904" s="5"/>
      <c r="D904" s="5"/>
    </row>
    <row r="905">
      <c r="A905" s="5"/>
      <c r="B905" s="5"/>
      <c r="C905" s="5"/>
      <c r="D905" s="5"/>
    </row>
    <row r="906">
      <c r="A906" s="5"/>
      <c r="B906" s="5"/>
      <c r="C906" s="5"/>
      <c r="D906" s="5"/>
    </row>
    <row r="907">
      <c r="A907" s="5"/>
      <c r="B907" s="5"/>
      <c r="C907" s="5"/>
      <c r="D907" s="5"/>
    </row>
    <row r="908">
      <c r="A908" s="5"/>
      <c r="B908" s="5"/>
      <c r="C908" s="5"/>
      <c r="D908" s="5"/>
    </row>
    <row r="909">
      <c r="A909" s="5"/>
      <c r="B909" s="5"/>
      <c r="C909" s="5"/>
      <c r="D909" s="5"/>
    </row>
    <row r="910">
      <c r="A910" s="5"/>
      <c r="B910" s="5"/>
      <c r="C910" s="5"/>
      <c r="D910" s="5"/>
    </row>
    <row r="911">
      <c r="A911" s="5"/>
      <c r="B911" s="5"/>
      <c r="C911" s="5"/>
      <c r="D911" s="5"/>
    </row>
    <row r="912">
      <c r="A912" s="5"/>
      <c r="B912" s="5"/>
      <c r="C912" s="5"/>
      <c r="D912" s="5"/>
    </row>
    <row r="913">
      <c r="A913" s="5"/>
      <c r="B913" s="5"/>
      <c r="C913" s="5"/>
      <c r="D913" s="5"/>
    </row>
    <row r="914">
      <c r="A914" s="5"/>
      <c r="B914" s="5"/>
      <c r="C914" s="5"/>
      <c r="D914" s="5"/>
    </row>
    <row r="915">
      <c r="A915" s="5"/>
      <c r="B915" s="5"/>
      <c r="C915" s="5"/>
      <c r="D915" s="5"/>
    </row>
    <row r="916">
      <c r="A916" s="5"/>
      <c r="B916" s="5"/>
      <c r="C916" s="5"/>
      <c r="D916" s="5"/>
    </row>
    <row r="917">
      <c r="A917" s="5"/>
      <c r="B917" s="5"/>
      <c r="C917" s="5"/>
      <c r="D917" s="5"/>
    </row>
    <row r="918">
      <c r="A918" s="5"/>
      <c r="B918" s="5"/>
      <c r="C918" s="5"/>
      <c r="D918" s="5"/>
    </row>
    <row r="919">
      <c r="A919" s="5"/>
      <c r="B919" s="5"/>
      <c r="C919" s="5"/>
      <c r="D919" s="5"/>
    </row>
    <row r="920">
      <c r="A920" s="5"/>
      <c r="B920" s="5"/>
      <c r="C920" s="5"/>
      <c r="D920" s="5"/>
    </row>
    <row r="921">
      <c r="A921" s="5"/>
      <c r="B921" s="5"/>
      <c r="C921" s="5"/>
      <c r="D921" s="5"/>
    </row>
    <row r="922">
      <c r="A922" s="5"/>
      <c r="B922" s="5"/>
      <c r="C922" s="5"/>
      <c r="D922" s="5"/>
    </row>
    <row r="923">
      <c r="A923" s="5"/>
      <c r="B923" s="5"/>
      <c r="C923" s="5"/>
      <c r="D923" s="5"/>
    </row>
    <row r="924">
      <c r="A924" s="5"/>
      <c r="B924" s="5"/>
      <c r="C924" s="5"/>
      <c r="D924" s="5"/>
    </row>
    <row r="925">
      <c r="A925" s="5"/>
      <c r="B925" s="5"/>
      <c r="C925" s="5"/>
      <c r="D925" s="5"/>
    </row>
    <row r="926">
      <c r="A926" s="5"/>
      <c r="B926" s="5"/>
      <c r="C926" s="5"/>
      <c r="D926" s="5"/>
    </row>
    <row r="927">
      <c r="A927" s="5"/>
      <c r="B927" s="5"/>
      <c r="C927" s="5"/>
      <c r="D927" s="5"/>
    </row>
    <row r="928">
      <c r="A928" s="5"/>
      <c r="B928" s="5"/>
      <c r="C928" s="5"/>
      <c r="D928" s="5"/>
    </row>
    <row r="929">
      <c r="A929" s="5"/>
      <c r="B929" s="5"/>
      <c r="C929" s="5"/>
      <c r="D929" s="5"/>
    </row>
    <row r="930">
      <c r="A930" s="5"/>
      <c r="B930" s="5"/>
      <c r="C930" s="5"/>
      <c r="D930" s="5"/>
    </row>
    <row r="931">
      <c r="A931" s="5"/>
      <c r="B931" s="5"/>
      <c r="C931" s="5"/>
      <c r="D931" s="5"/>
    </row>
    <row r="932">
      <c r="A932" s="5"/>
      <c r="B932" s="5"/>
      <c r="C932" s="5"/>
      <c r="D932" s="5"/>
    </row>
    <row r="933">
      <c r="A933" s="5"/>
      <c r="B933" s="5"/>
      <c r="C933" s="5"/>
      <c r="D933" s="5"/>
    </row>
    <row r="934">
      <c r="A934" s="5"/>
      <c r="B934" s="5"/>
      <c r="C934" s="5"/>
      <c r="D934" s="5"/>
    </row>
    <row r="935">
      <c r="A935" s="5"/>
      <c r="B935" s="5"/>
      <c r="C935" s="5"/>
      <c r="D935" s="5"/>
    </row>
    <row r="936">
      <c r="A936" s="5"/>
      <c r="B936" s="5"/>
      <c r="C936" s="5"/>
      <c r="D936" s="5"/>
    </row>
    <row r="937">
      <c r="A937" s="5"/>
      <c r="B937" s="5"/>
      <c r="C937" s="5"/>
      <c r="D937" s="5"/>
    </row>
    <row r="938">
      <c r="A938" s="5"/>
      <c r="B938" s="5"/>
      <c r="C938" s="5"/>
      <c r="D938" s="5"/>
    </row>
    <row r="939">
      <c r="A939" s="5"/>
      <c r="B939" s="5"/>
      <c r="C939" s="5"/>
      <c r="D939" s="5"/>
    </row>
    <row r="940">
      <c r="A940" s="5"/>
      <c r="B940" s="5"/>
      <c r="C940" s="5"/>
      <c r="D940" s="5"/>
    </row>
    <row r="941">
      <c r="A941" s="5"/>
      <c r="B941" s="5"/>
      <c r="C941" s="5"/>
      <c r="D941" s="5"/>
    </row>
    <row r="942">
      <c r="A942" s="5"/>
      <c r="B942" s="5"/>
      <c r="C942" s="5"/>
      <c r="D942" s="5"/>
    </row>
    <row r="943">
      <c r="A943" s="5"/>
      <c r="B943" s="5"/>
      <c r="C943" s="5"/>
      <c r="D943" s="5"/>
    </row>
    <row r="944">
      <c r="A944" s="5"/>
      <c r="B944" s="5"/>
      <c r="C944" s="5"/>
      <c r="D944" s="5"/>
    </row>
    <row r="945">
      <c r="A945" s="5"/>
      <c r="B945" s="5"/>
      <c r="C945" s="5"/>
      <c r="D945" s="5"/>
    </row>
    <row r="946">
      <c r="A946" s="5"/>
      <c r="B946" s="5"/>
      <c r="C946" s="5"/>
      <c r="D946" s="5"/>
    </row>
    <row r="947">
      <c r="A947" s="5"/>
      <c r="B947" s="5"/>
      <c r="C947" s="5"/>
      <c r="D947" s="5"/>
    </row>
    <row r="948">
      <c r="A948" s="5"/>
      <c r="B948" s="5"/>
      <c r="C948" s="5"/>
      <c r="D948" s="5"/>
    </row>
    <row r="949">
      <c r="A949" s="5"/>
      <c r="B949" s="5"/>
      <c r="C949" s="5"/>
      <c r="D949" s="5"/>
    </row>
    <row r="950">
      <c r="A950" s="5"/>
      <c r="B950" s="5"/>
      <c r="C950" s="5"/>
      <c r="D950" s="5"/>
    </row>
    <row r="951">
      <c r="A951" s="5"/>
      <c r="B951" s="5"/>
      <c r="C951" s="5"/>
      <c r="D951" s="5"/>
    </row>
    <row r="952">
      <c r="A952" s="5"/>
      <c r="B952" s="5"/>
      <c r="C952" s="5"/>
      <c r="D952" s="5"/>
    </row>
    <row r="953">
      <c r="A953" s="5"/>
      <c r="B953" s="5"/>
      <c r="C953" s="5"/>
      <c r="D953" s="5"/>
    </row>
    <row r="954">
      <c r="A954" s="5"/>
      <c r="B954" s="5"/>
      <c r="C954" s="5"/>
      <c r="D954" s="5"/>
    </row>
    <row r="955">
      <c r="A955" s="5"/>
      <c r="B955" s="5"/>
      <c r="C955" s="5"/>
      <c r="D955" s="5"/>
    </row>
    <row r="956">
      <c r="A956" s="5"/>
      <c r="B956" s="5"/>
      <c r="C956" s="5"/>
      <c r="D956" s="5"/>
    </row>
    <row r="957">
      <c r="A957" s="5"/>
      <c r="B957" s="5"/>
      <c r="C957" s="5"/>
      <c r="D957" s="5"/>
    </row>
    <row r="958">
      <c r="A958" s="5"/>
      <c r="B958" s="5"/>
      <c r="C958" s="5"/>
      <c r="D958" s="5"/>
    </row>
    <row r="959">
      <c r="A959" s="5"/>
      <c r="B959" s="5"/>
      <c r="C959" s="5"/>
      <c r="D959" s="5"/>
    </row>
    <row r="960">
      <c r="A960" s="5"/>
      <c r="B960" s="5"/>
      <c r="C960" s="5"/>
      <c r="D960" s="5"/>
    </row>
    <row r="961">
      <c r="A961" s="5"/>
      <c r="B961" s="5"/>
      <c r="C961" s="5"/>
      <c r="D961" s="5"/>
    </row>
    <row r="962">
      <c r="A962" s="5"/>
      <c r="B962" s="5"/>
      <c r="C962" s="5"/>
      <c r="D962" s="5"/>
    </row>
    <row r="963">
      <c r="A963" s="5"/>
      <c r="B963" s="5"/>
      <c r="C963" s="5"/>
      <c r="D963" s="5"/>
    </row>
    <row r="964">
      <c r="A964" s="5"/>
      <c r="B964" s="5"/>
      <c r="C964" s="5"/>
      <c r="D964" s="5"/>
    </row>
    <row r="965">
      <c r="A965" s="5"/>
      <c r="B965" s="5"/>
      <c r="C965" s="5"/>
      <c r="D965" s="5"/>
    </row>
    <row r="966">
      <c r="A966" s="5"/>
      <c r="B966" s="5"/>
      <c r="C966" s="5"/>
      <c r="D966" s="5"/>
    </row>
    <row r="967">
      <c r="A967" s="5"/>
      <c r="B967" s="5"/>
      <c r="C967" s="5"/>
      <c r="D967" s="5"/>
    </row>
    <row r="968">
      <c r="A968" s="5"/>
      <c r="B968" s="5"/>
      <c r="C968" s="5"/>
      <c r="D968" s="5"/>
    </row>
    <row r="969">
      <c r="A969" s="5"/>
      <c r="B969" s="5"/>
      <c r="C969" s="5"/>
      <c r="D969" s="5"/>
    </row>
    <row r="970">
      <c r="A970" s="5"/>
      <c r="B970" s="5"/>
      <c r="C970" s="5"/>
      <c r="D970" s="5"/>
    </row>
    <row r="971">
      <c r="A971" s="5"/>
      <c r="B971" s="5"/>
      <c r="C971" s="5"/>
      <c r="D971" s="5"/>
    </row>
    <row r="972">
      <c r="A972" s="5"/>
      <c r="B972" s="5"/>
      <c r="C972" s="5"/>
      <c r="D972" s="5"/>
    </row>
    <row r="973">
      <c r="A973" s="5"/>
      <c r="B973" s="5"/>
      <c r="C973" s="5"/>
      <c r="D973" s="5"/>
    </row>
    <row r="974">
      <c r="A974" s="5"/>
      <c r="B974" s="5"/>
      <c r="C974" s="5"/>
      <c r="D974" s="5"/>
    </row>
    <row r="975">
      <c r="A975" s="5"/>
      <c r="B975" s="5"/>
      <c r="C975" s="5"/>
      <c r="D975" s="5"/>
    </row>
    <row r="976">
      <c r="A976" s="5"/>
      <c r="B976" s="5"/>
      <c r="C976" s="5"/>
      <c r="D976" s="5"/>
    </row>
    <row r="977">
      <c r="A977" s="5"/>
      <c r="B977" s="5"/>
      <c r="C977" s="5"/>
      <c r="D977" s="5"/>
    </row>
    <row r="978">
      <c r="A978" s="5"/>
      <c r="B978" s="5"/>
      <c r="C978" s="5"/>
      <c r="D978" s="5"/>
    </row>
    <row r="979">
      <c r="A979" s="5"/>
      <c r="B979" s="5"/>
      <c r="C979" s="5"/>
      <c r="D979" s="5"/>
    </row>
    <row r="980">
      <c r="A980" s="5"/>
      <c r="B980" s="5"/>
      <c r="C980" s="5"/>
      <c r="D980" s="5"/>
    </row>
    <row r="981">
      <c r="A981" s="5"/>
      <c r="B981" s="5"/>
      <c r="C981" s="5"/>
      <c r="D981" s="5"/>
    </row>
    <row r="982">
      <c r="A982" s="5"/>
      <c r="B982" s="5"/>
      <c r="C982" s="5"/>
      <c r="D982" s="5"/>
    </row>
    <row r="983">
      <c r="A983" s="5"/>
      <c r="B983" s="5"/>
      <c r="C983" s="5"/>
      <c r="D983" s="5"/>
    </row>
    <row r="984">
      <c r="A984" s="5"/>
      <c r="B984" s="5"/>
      <c r="C984" s="5"/>
      <c r="D984" s="5"/>
    </row>
    <row r="985">
      <c r="A985" s="5"/>
      <c r="B985" s="5"/>
      <c r="C985" s="5"/>
      <c r="D985" s="5"/>
    </row>
    <row r="986">
      <c r="A986" s="5"/>
      <c r="B986" s="5"/>
      <c r="C986" s="5"/>
      <c r="D986" s="5"/>
    </row>
    <row r="987">
      <c r="A987" s="5"/>
      <c r="B987" s="5"/>
      <c r="C987" s="5"/>
      <c r="D987" s="5"/>
    </row>
    <row r="988">
      <c r="A988" s="5"/>
      <c r="B988" s="5"/>
      <c r="C988" s="5"/>
      <c r="D988" s="5"/>
    </row>
    <row r="989">
      <c r="A989" s="5"/>
      <c r="B989" s="5"/>
      <c r="C989" s="5"/>
      <c r="D989" s="5"/>
    </row>
    <row r="990">
      <c r="A990" s="5"/>
      <c r="B990" s="5"/>
      <c r="C990" s="5"/>
      <c r="D990" s="5"/>
    </row>
    <row r="991">
      <c r="A991" s="5"/>
      <c r="B991" s="5"/>
      <c r="C991" s="5"/>
      <c r="D991" s="5"/>
    </row>
    <row r="992">
      <c r="A992" s="5"/>
      <c r="B992" s="5"/>
      <c r="C992" s="5"/>
      <c r="D992" s="5"/>
    </row>
    <row r="993">
      <c r="A993" s="5"/>
      <c r="B993" s="5"/>
      <c r="C993" s="5"/>
      <c r="D993" s="5"/>
    </row>
    <row r="994">
      <c r="A994" s="5"/>
      <c r="B994" s="5"/>
      <c r="C994" s="5"/>
      <c r="D994" s="5"/>
    </row>
    <row r="995">
      <c r="A995" s="5"/>
      <c r="B995" s="5"/>
      <c r="C995" s="5"/>
      <c r="D995" s="5"/>
    </row>
    <row r="996">
      <c r="A996" s="5"/>
      <c r="B996" s="5"/>
      <c r="C996" s="5"/>
      <c r="D996" s="5"/>
    </row>
    <row r="997">
      <c r="A997" s="5"/>
      <c r="B997" s="5"/>
      <c r="C997" s="5"/>
      <c r="D997" s="5"/>
    </row>
    <row r="998">
      <c r="A998" s="5"/>
      <c r="B998" s="5"/>
      <c r="C998" s="5"/>
      <c r="D998" s="5"/>
    </row>
    <row r="999">
      <c r="A999" s="5"/>
      <c r="B999" s="5"/>
      <c r="C999" s="5"/>
      <c r="D999" s="5"/>
    </row>
    <row r="1000">
      <c r="A1000" s="5"/>
      <c r="B1000" s="5"/>
      <c r="C1000" s="5"/>
      <c r="D1000" s="5"/>
    </row>
    <row r="1001">
      <c r="A1001" s="5"/>
      <c r="B1001" s="5"/>
      <c r="C1001" s="5"/>
      <c r="D1001" s="5"/>
    </row>
    <row r="1002">
      <c r="A1002" s="5"/>
      <c r="B1002" s="5"/>
      <c r="C1002" s="5"/>
      <c r="D1002" s="5"/>
    </row>
  </sheetData>
  <mergeCells count="10">
    <mergeCell ref="Q14:T14"/>
    <mergeCell ref="U14:X14"/>
    <mergeCell ref="A1:D1"/>
    <mergeCell ref="A3:D3"/>
    <mergeCell ref="A12:D12"/>
    <mergeCell ref="A14:D14"/>
    <mergeCell ref="E14:H14"/>
    <mergeCell ref="I14:L14"/>
    <mergeCell ref="M14:P14"/>
    <mergeCell ref="A23:D2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63"/>
    <col customWidth="1" min="2" max="2" width="39.5"/>
  </cols>
  <sheetData>
    <row r="1">
      <c r="A1" s="2" t="s">
        <v>39</v>
      </c>
      <c r="B1" s="5" t="str">
        <f>IFERROR(__xludf.DUMMYFUNCTION("GOOGLETRANSLATE(A1,""ja"",""vi"")"),"# Quy định về hoàn trả chi phí")</f>
        <v># Quy định về hoàn trả chi phí</v>
      </c>
    </row>
    <row r="2">
      <c r="A2" s="5"/>
      <c r="B2" s="5"/>
    </row>
    <row r="3">
      <c r="A3" s="2" t="s">
        <v>40</v>
      </c>
      <c r="B3" s="5" t="str">
        <f>IFERROR(__xludf.DUMMYFUNCTION("GOOGLETRANSLATE(A3,""ja"",""vi"")"),"## Điều 1 Mục đích")</f>
        <v>## Điều 1 Mục đích</v>
      </c>
    </row>
    <row r="4">
      <c r="A4" s="2" t="s">
        <v>41</v>
      </c>
      <c r="B4" s="5" t="str">
        <f>IFERROR(__xludf.DUMMYFUNCTION("GOOGLETRANSLATE(A4,""ja"",""vi"")"),"Quy định này nhằm mục đích thiết lập các thủ tục hoàn trả chi phí cho nhân viên tại Công ty TNHH Jarvis. Nó đảm bảo việc quản lý chi phí hợp lý và hoàn trả kịp thời.")</f>
        <v>Quy định này nhằm mục đích thiết lập các thủ tục hoàn trả chi phí cho nhân viên tại Công ty TNHH Jarvis. Nó đảm bảo việc quản lý chi phí hợp lý và hoàn trả kịp thời.</v>
      </c>
    </row>
    <row r="5">
      <c r="A5" s="5"/>
      <c r="B5" s="5"/>
    </row>
    <row r="6">
      <c r="A6" s="2" t="s">
        <v>42</v>
      </c>
      <c r="B6" s="5" t="str">
        <f>IFERROR(__xludf.DUMMYFUNCTION("GOOGLETRANSLATE(A6,""ja"",""vi"")"),"## Điều 2 Chi phí hợp lệ")</f>
        <v>## Điều 2 Chi phí hợp lệ</v>
      </c>
    </row>
    <row r="7">
      <c r="A7" s="2" t="s">
        <v>43</v>
      </c>
      <c r="B7" s="5" t="str">
        <f>IFERROR(__xludf.DUMMYFUNCTION("GOOGLETRANSLATE(A7,""ja"",""vi"")"),"Các khoản chi phí đủ điều kiện được hoàn trả như sau:")</f>
        <v>Các khoản chi phí đủ điều kiện được hoàn trả như sau:</v>
      </c>
    </row>
    <row r="8">
      <c r="A8" s="2" t="s">
        <v>44</v>
      </c>
      <c r="B8" s="5" t="str">
        <f>IFERROR(__xludf.DUMMYFUNCTION("GOOGLETRANSLATE(A8,""ja"",""vi"")"),"- Chi phí đi lại (tàu hỏa, xe buýt, taxi)")</f>
        <v>- Chi phí đi lại (tàu hỏa, xe buýt, taxi)</v>
      </c>
    </row>
    <row r="9">
      <c r="A9" s="2" t="s">
        <v>45</v>
      </c>
      <c r="B9" s="5" t="str">
        <f>IFERROR(__xludf.DUMMYFUNCTION("GOOGLETRANSLATE(A9,""ja"",""vi"")"),"- Chi phí lưu trú phát sinh trong các chuyến công tác (tối đa 15.000 yên/đêm)")</f>
        <v>- Chi phí lưu trú phát sinh trong các chuyến công tác (tối đa 15.000 yên/đêm)</v>
      </c>
    </row>
    <row r="10">
      <c r="A10" s="2" t="s">
        <v>46</v>
      </c>
      <c r="B10" s="5" t="str">
        <f>IFERROR(__xludf.DUMMYFUNCTION("GOOGLETRANSLATE(A10,""ja"",""vi"")"),"- Chi phí ăn tối kinh doanh (tối đa 5.000 yên/người)")</f>
        <v>- Chi phí ăn tối kinh doanh (tối đa 5.000 yên/người)</v>
      </c>
    </row>
    <row r="11">
      <c r="A11" s="2" t="s">
        <v>47</v>
      </c>
      <c r="B11" s="5" t="str">
        <f>IFERROR(__xludf.DUMMYFUNCTION("GOOGLETRANSLATE(A11,""ja"",""vi"")"),"- Chi phí mua sắm văn phòng phẩm")</f>
        <v>- Chi phí mua sắm văn phòng phẩm</v>
      </c>
    </row>
    <row r="12">
      <c r="A12" s="5"/>
      <c r="B12" s="5"/>
    </row>
    <row r="13">
      <c r="A13" s="2" t="s">
        <v>48</v>
      </c>
      <c r="B13" s="5" t="str">
        <f>IFERROR(__xludf.DUMMYFUNCTION("GOOGLETRANSLATE(A13,""ja"",""vi"")"),"## Điều 3 Hạn chót nộp đơn")</f>
        <v>## Điều 3 Hạn chót nộp đơn</v>
      </c>
    </row>
    <row r="14">
      <c r="A14" s="2" t="s">
        <v>49</v>
      </c>
      <c r="B14" s="5" t="str">
        <f>IFERROR(__xludf.DUMMYFUNCTION("GOOGLETRANSLATE(A14,""ja"",""vi"")"),"Các yêu cầu thanh toán chi phí phải được gửi đến bộ phận kế toán trước ngày 10 của tháng tiếp theo tháng phát sinh chi phí. Các yêu cầu thanh toán nộp sau thời hạn này thường sẽ không được hoàn trả.")</f>
        <v>Các yêu cầu thanh toán chi phí phải được gửi đến bộ phận kế toán trước ngày 10 của tháng tiếp theo tháng phát sinh chi phí. Các yêu cầu thanh toán nộp sau thời hạn này thường sẽ không được hoàn trả.</v>
      </c>
    </row>
    <row r="15">
      <c r="A15" s="5"/>
      <c r="B15" s="5"/>
    </row>
    <row r="16">
      <c r="A16" s="2" t="s">
        <v>50</v>
      </c>
      <c r="B16" s="5" t="str">
        <f>IFERROR(__xludf.DUMMYFUNCTION("GOOGLETRANSLATE(A16,""ja"",""vi"")"),"## Quy trình phê duyệt Điều 4")</f>
        <v>## Quy trình phê duyệt Điều 4</v>
      </c>
    </row>
    <row r="17">
      <c r="A17" s="2" t="s">
        <v>51</v>
      </c>
      <c r="B17" s="5" t="str">
        <f>IFERROR(__xludf.DUMMYFUNCTION("GOOGLETRANSLATE(A17,""ja"",""vi"")"),"Các khoản chi phí được đệ trình trước tiên sẽ được người giám sát trực tiếp xem xét, sau đó trưởng phòng kế toán sẽ phê duyệt cuối cùng. Các khoản chi phí vượt quá 100.000 yên cần được Giám đốc Tài chính (CFO) phê duyệt.")</f>
        <v>Các khoản chi phí được đệ trình trước tiên sẽ được người giám sát trực tiếp xem xét, sau đó trưởng phòng kế toán sẽ phê duyệt cuối cùng. Các khoản chi phí vượt quá 100.000 yên cần được Giám đốc Tài chính (CFO) phê duyệt.</v>
      </c>
    </row>
    <row r="18">
      <c r="A18" s="5"/>
      <c r="B18" s="5"/>
    </row>
    <row r="19">
      <c r="A19" s="2" t="s">
        <v>52</v>
      </c>
      <c r="B19" s="5" t="str">
        <f>IFERROR(__xludf.DUMMYFUNCTION("GOOGLETRANSLATE(A19,""ja"",""vi"")"),"## Điều 5 Lưu trữ biên lai")</f>
        <v>## Điều 5 Lưu trữ biên lai</v>
      </c>
    </row>
    <row r="20">
      <c r="A20" s="2" t="s">
        <v>53</v>
      </c>
      <c r="B20" s="5" t="str">
        <f>IFERROR(__xludf.DUMMYFUNCTION("GOOGLETRANSLATE(A20,""ja"",""vi"")"),"Nhân viên được yêu cầu số hóa các biên lai chi phí và tải chúng lên hệ thống hoàn trả chi phí Jarvis Pay. Biên lai gốc phải được giữ lại trong ba năm.")</f>
        <v>Nhân viên được yêu cầu số hóa các biên lai chi phí và tải chúng lên hệ thống hoàn trả chi phí Jarvis Pay. Biên lai gốc phải được giữ lại trong ba năm.</v>
      </c>
    </row>
    <row r="21">
      <c r="A21" s="5"/>
      <c r="B21" s="5"/>
    </row>
    <row r="22">
      <c r="A22" s="2" t="s">
        <v>54</v>
      </c>
      <c r="B22" s="5" t="str">
        <f>IFERROR(__xludf.DUMMYFUNCTION("GOOGLETRANSLATE(A22,""ja"",""vi"")"),"## Điều 6 Nghiêm cấm sử dụng trái phép")</f>
        <v>## Điều 6 Nghiêm cấm sử dụng trái phép</v>
      </c>
    </row>
    <row r="23">
      <c r="A23" s="2" t="s">
        <v>55</v>
      </c>
      <c r="B23" s="5" t="str">
        <f>IFERROR(__xludf.DUMMYFUNCTION("GOOGLETRANSLATE(A23,""ja"",""vi"")"),"Nếu phát hiện việc sử dụng sai mục đích các khoản chi phí của công ty, nhân viên sẽ phải hoàn trả toàn bộ số tiền và sẽ bị xử lý kỷ luật theo quy định về lao động của công ty.")</f>
        <v>Nếu phát hiện việc sử dụng sai mục đích các khoản chi phí của công ty, nhân viên sẽ phải hoàn trả toàn bộ số tiền và sẽ bị xử lý kỷ luật theo quy định về lao động của công ty.</v>
      </c>
    </row>
    <row r="24">
      <c r="A24" s="5"/>
      <c r="B24" s="5"/>
    </row>
    <row r="25">
      <c r="A25" s="5"/>
      <c r="B25" s="5"/>
    </row>
    <row r="26">
      <c r="A26" s="5"/>
      <c r="B26" s="5"/>
    </row>
    <row r="27">
      <c r="A27" s="5"/>
      <c r="B27" s="5"/>
    </row>
    <row r="28">
      <c r="A28" s="5"/>
      <c r="B28" s="5"/>
    </row>
    <row r="29">
      <c r="A29" s="5"/>
      <c r="B29" s="5"/>
    </row>
    <row r="30">
      <c r="A30" s="5"/>
      <c r="B30" s="5"/>
    </row>
    <row r="31">
      <c r="A31" s="5"/>
      <c r="B31" s="5"/>
    </row>
    <row r="32">
      <c r="A32" s="5"/>
      <c r="B32" s="5"/>
    </row>
    <row r="33">
      <c r="A33" s="5"/>
      <c r="B33" s="5"/>
    </row>
    <row r="34">
      <c r="A34" s="5"/>
      <c r="B34" s="5"/>
    </row>
    <row r="35">
      <c r="A35" s="5"/>
      <c r="B35" s="5"/>
    </row>
    <row r="36">
      <c r="A36" s="5"/>
      <c r="B36" s="5"/>
    </row>
    <row r="37">
      <c r="A37" s="5"/>
      <c r="B37" s="5"/>
    </row>
    <row r="38">
      <c r="A38" s="5"/>
      <c r="B38" s="5"/>
    </row>
    <row r="39">
      <c r="A39" s="5"/>
      <c r="B39" s="5"/>
    </row>
    <row r="40">
      <c r="A40" s="5"/>
      <c r="B40" s="5"/>
    </row>
    <row r="41">
      <c r="A41" s="5"/>
      <c r="B41" s="5"/>
    </row>
    <row r="42">
      <c r="A42" s="5"/>
      <c r="B42" s="5"/>
    </row>
    <row r="43">
      <c r="A43" s="5"/>
      <c r="B43" s="5"/>
    </row>
    <row r="44">
      <c r="A44" s="5"/>
      <c r="B44" s="5"/>
    </row>
    <row r="45">
      <c r="A45" s="5"/>
      <c r="B45" s="5"/>
    </row>
    <row r="46">
      <c r="A46" s="5"/>
      <c r="B46" s="5"/>
    </row>
    <row r="47">
      <c r="A47" s="5"/>
      <c r="B47" s="5"/>
    </row>
    <row r="48">
      <c r="A48" s="5"/>
      <c r="B48" s="5"/>
    </row>
    <row r="49">
      <c r="A49" s="5"/>
      <c r="B49" s="5"/>
    </row>
    <row r="50">
      <c r="A50" s="5"/>
      <c r="B50" s="5"/>
    </row>
    <row r="51">
      <c r="A51" s="5"/>
      <c r="B51" s="5"/>
    </row>
    <row r="52">
      <c r="A52" s="5"/>
      <c r="B52" s="5"/>
    </row>
    <row r="53">
      <c r="A53" s="5"/>
      <c r="B53" s="5"/>
    </row>
    <row r="54">
      <c r="A54" s="5"/>
      <c r="B54" s="5"/>
    </row>
    <row r="55">
      <c r="A55" s="5"/>
      <c r="B55" s="5"/>
    </row>
    <row r="56">
      <c r="A56" s="5"/>
      <c r="B56" s="5"/>
    </row>
    <row r="57">
      <c r="A57" s="5"/>
      <c r="B57" s="5"/>
    </row>
    <row r="58">
      <c r="A58" s="5"/>
      <c r="B58" s="5"/>
    </row>
    <row r="59">
      <c r="A59" s="5"/>
      <c r="B59" s="5"/>
    </row>
    <row r="60">
      <c r="A60" s="5"/>
      <c r="B60" s="5"/>
    </row>
    <row r="61">
      <c r="A61" s="5"/>
      <c r="B61" s="5"/>
    </row>
    <row r="62">
      <c r="A62" s="5"/>
      <c r="B62" s="5"/>
    </row>
    <row r="63">
      <c r="A63" s="5"/>
      <c r="B63" s="5"/>
    </row>
    <row r="64">
      <c r="A64" s="5"/>
      <c r="B64" s="5"/>
    </row>
    <row r="65">
      <c r="A65" s="5"/>
      <c r="B65" s="5"/>
    </row>
    <row r="66">
      <c r="A66" s="5"/>
      <c r="B66" s="5"/>
    </row>
    <row r="67">
      <c r="A67" s="5"/>
      <c r="B67" s="5"/>
    </row>
    <row r="68">
      <c r="A68" s="5"/>
      <c r="B68" s="5"/>
    </row>
    <row r="69">
      <c r="A69" s="5"/>
      <c r="B69" s="5"/>
    </row>
    <row r="70">
      <c r="A70" s="5"/>
      <c r="B70" s="5"/>
    </row>
    <row r="71">
      <c r="A71" s="5"/>
      <c r="B71" s="5"/>
    </row>
    <row r="72">
      <c r="A72" s="5"/>
      <c r="B72" s="5"/>
    </row>
    <row r="73">
      <c r="A73" s="5"/>
      <c r="B73" s="5"/>
    </row>
    <row r="74">
      <c r="A74" s="5"/>
      <c r="B74" s="5"/>
    </row>
    <row r="75">
      <c r="A75" s="5"/>
      <c r="B75" s="5"/>
    </row>
    <row r="76">
      <c r="A76" s="5"/>
      <c r="B76" s="5"/>
    </row>
    <row r="77">
      <c r="A77" s="5"/>
      <c r="B77" s="5"/>
    </row>
    <row r="78">
      <c r="A78" s="5"/>
      <c r="B78" s="5"/>
    </row>
    <row r="79">
      <c r="A79" s="5"/>
      <c r="B79" s="5"/>
    </row>
    <row r="80">
      <c r="A80" s="5"/>
      <c r="B80" s="5"/>
    </row>
    <row r="81">
      <c r="A81" s="5"/>
      <c r="B81" s="5"/>
    </row>
    <row r="82">
      <c r="A82" s="5"/>
      <c r="B82" s="5"/>
    </row>
    <row r="83">
      <c r="A83" s="5"/>
      <c r="B83" s="5"/>
    </row>
    <row r="84">
      <c r="A84" s="5"/>
      <c r="B84" s="5"/>
    </row>
    <row r="85">
      <c r="A85" s="5"/>
      <c r="B85" s="5"/>
    </row>
    <row r="86">
      <c r="A86" s="5"/>
      <c r="B86" s="5"/>
    </row>
    <row r="87">
      <c r="A87" s="5"/>
      <c r="B87" s="5"/>
    </row>
    <row r="88">
      <c r="A88" s="5"/>
      <c r="B88" s="5"/>
    </row>
    <row r="89">
      <c r="A89" s="5"/>
      <c r="B89" s="5"/>
    </row>
    <row r="90">
      <c r="A90" s="5"/>
      <c r="B90" s="5"/>
    </row>
    <row r="91">
      <c r="A91" s="5"/>
      <c r="B91" s="5"/>
    </row>
    <row r="92">
      <c r="A92" s="5"/>
      <c r="B92" s="5"/>
    </row>
    <row r="93">
      <c r="A93" s="5"/>
      <c r="B93" s="5"/>
    </row>
    <row r="94">
      <c r="A94" s="5"/>
      <c r="B94" s="5"/>
    </row>
    <row r="95">
      <c r="A95" s="5"/>
      <c r="B95" s="5"/>
    </row>
    <row r="96">
      <c r="A96" s="5"/>
      <c r="B96" s="5"/>
    </row>
    <row r="97">
      <c r="A97" s="5"/>
      <c r="B97" s="5"/>
    </row>
    <row r="98">
      <c r="A98" s="5"/>
      <c r="B98" s="5"/>
    </row>
    <row r="99">
      <c r="A99" s="5"/>
      <c r="B99" s="5"/>
    </row>
    <row r="100">
      <c r="A100" s="5"/>
      <c r="B100" s="5"/>
    </row>
    <row r="101">
      <c r="A101" s="5"/>
      <c r="B101" s="5"/>
    </row>
    <row r="102">
      <c r="A102" s="5"/>
      <c r="B102" s="5"/>
    </row>
    <row r="103">
      <c r="A103" s="5"/>
      <c r="B103" s="5"/>
    </row>
    <row r="104">
      <c r="A104" s="5"/>
      <c r="B104" s="5"/>
    </row>
    <row r="105">
      <c r="A105" s="5"/>
      <c r="B105" s="5"/>
    </row>
    <row r="106">
      <c r="A106" s="5"/>
      <c r="B106" s="5"/>
    </row>
    <row r="107">
      <c r="A107" s="5"/>
      <c r="B107" s="5"/>
    </row>
    <row r="108">
      <c r="A108" s="5"/>
      <c r="B108" s="5"/>
    </row>
    <row r="109">
      <c r="A109" s="5"/>
      <c r="B109" s="5"/>
    </row>
    <row r="110">
      <c r="A110" s="5"/>
      <c r="B110" s="5"/>
    </row>
    <row r="111">
      <c r="A111" s="5"/>
      <c r="B111" s="5"/>
    </row>
    <row r="112">
      <c r="A112" s="5"/>
      <c r="B112" s="5"/>
    </row>
    <row r="113">
      <c r="A113" s="5"/>
      <c r="B113" s="5"/>
    </row>
    <row r="114">
      <c r="A114" s="5"/>
      <c r="B114" s="5"/>
    </row>
    <row r="115">
      <c r="A115" s="5"/>
      <c r="B115" s="5"/>
    </row>
    <row r="116">
      <c r="A116" s="5"/>
      <c r="B116" s="5"/>
    </row>
    <row r="117">
      <c r="A117" s="5"/>
      <c r="B117" s="5"/>
    </row>
    <row r="118">
      <c r="A118" s="5"/>
      <c r="B118" s="5"/>
    </row>
    <row r="119">
      <c r="A119" s="5"/>
      <c r="B119" s="5"/>
    </row>
    <row r="120">
      <c r="A120" s="5"/>
      <c r="B120" s="5"/>
    </row>
    <row r="121">
      <c r="A121" s="5"/>
      <c r="B121" s="5"/>
    </row>
    <row r="122">
      <c r="A122" s="5"/>
      <c r="B122" s="5"/>
    </row>
    <row r="123">
      <c r="A123" s="5"/>
      <c r="B123" s="5"/>
    </row>
    <row r="124">
      <c r="A124" s="5"/>
      <c r="B124" s="5"/>
    </row>
    <row r="125">
      <c r="A125" s="5"/>
      <c r="B125" s="5"/>
    </row>
    <row r="126">
      <c r="A126" s="5"/>
      <c r="B126" s="5"/>
    </row>
    <row r="127">
      <c r="A127" s="5"/>
      <c r="B127" s="5"/>
    </row>
    <row r="128">
      <c r="A128" s="5"/>
      <c r="B128" s="5"/>
    </row>
    <row r="129">
      <c r="A129" s="5"/>
      <c r="B129" s="5"/>
    </row>
    <row r="130">
      <c r="A130" s="5"/>
      <c r="B130" s="5"/>
    </row>
    <row r="131">
      <c r="A131" s="5"/>
      <c r="B131" s="5"/>
    </row>
    <row r="132">
      <c r="A132" s="5"/>
      <c r="B132" s="5"/>
    </row>
    <row r="133">
      <c r="A133" s="5"/>
      <c r="B133" s="5"/>
    </row>
    <row r="134">
      <c r="A134" s="5"/>
      <c r="B134" s="5"/>
    </row>
    <row r="135">
      <c r="A135" s="5"/>
      <c r="B135" s="5"/>
    </row>
    <row r="136">
      <c r="A136" s="5"/>
      <c r="B136" s="5"/>
    </row>
    <row r="137">
      <c r="A137" s="5"/>
      <c r="B137" s="5"/>
    </row>
    <row r="138">
      <c r="A138" s="5"/>
      <c r="B138" s="5"/>
    </row>
    <row r="139">
      <c r="A139" s="5"/>
      <c r="B139" s="5"/>
    </row>
    <row r="140">
      <c r="A140" s="5"/>
      <c r="B140" s="5"/>
    </row>
    <row r="141">
      <c r="A141" s="5"/>
      <c r="B141" s="5"/>
    </row>
    <row r="142">
      <c r="A142" s="5"/>
      <c r="B142" s="5"/>
    </row>
    <row r="143">
      <c r="A143" s="5"/>
      <c r="B143" s="5"/>
    </row>
    <row r="144">
      <c r="A144" s="5"/>
      <c r="B144" s="5"/>
    </row>
    <row r="145">
      <c r="A145" s="5"/>
      <c r="B145" s="5"/>
    </row>
    <row r="146">
      <c r="A146" s="5"/>
      <c r="B146" s="5"/>
    </row>
    <row r="147">
      <c r="A147" s="5"/>
      <c r="B147" s="5"/>
    </row>
    <row r="148">
      <c r="A148" s="5"/>
      <c r="B148" s="5"/>
    </row>
    <row r="149">
      <c r="A149" s="5"/>
      <c r="B149" s="5"/>
    </row>
    <row r="150">
      <c r="A150" s="5"/>
      <c r="B150" s="5"/>
    </row>
    <row r="151">
      <c r="A151" s="5"/>
      <c r="B151" s="5"/>
    </row>
    <row r="152">
      <c r="A152" s="5"/>
      <c r="B152" s="5"/>
    </row>
    <row r="153">
      <c r="A153" s="5"/>
      <c r="B153" s="5"/>
    </row>
    <row r="154">
      <c r="A154" s="5"/>
      <c r="B154" s="5"/>
    </row>
    <row r="155">
      <c r="A155" s="5"/>
      <c r="B155" s="5"/>
    </row>
    <row r="156">
      <c r="A156" s="5"/>
      <c r="B156" s="5"/>
    </row>
    <row r="157">
      <c r="A157" s="5"/>
      <c r="B157" s="5"/>
    </row>
    <row r="158">
      <c r="A158" s="5"/>
      <c r="B158" s="5"/>
    </row>
    <row r="159">
      <c r="A159" s="5"/>
      <c r="B159" s="5"/>
    </row>
    <row r="160">
      <c r="A160" s="5"/>
      <c r="B160" s="5"/>
    </row>
    <row r="161">
      <c r="A161" s="5"/>
      <c r="B161" s="5"/>
    </row>
    <row r="162">
      <c r="A162" s="5"/>
      <c r="B162" s="5"/>
    </row>
    <row r="163">
      <c r="A163" s="5"/>
      <c r="B163" s="5"/>
    </row>
    <row r="164">
      <c r="A164" s="5"/>
      <c r="B164" s="5"/>
    </row>
    <row r="165">
      <c r="A165" s="5"/>
      <c r="B165" s="5"/>
    </row>
    <row r="166">
      <c r="A166" s="5"/>
      <c r="B166" s="5"/>
    </row>
    <row r="167">
      <c r="A167" s="5"/>
      <c r="B167" s="5"/>
    </row>
    <row r="168">
      <c r="A168" s="5"/>
      <c r="B168" s="5"/>
    </row>
    <row r="169">
      <c r="A169" s="5"/>
      <c r="B169" s="5"/>
    </row>
    <row r="170">
      <c r="A170" s="5"/>
      <c r="B170" s="5"/>
    </row>
    <row r="171">
      <c r="A171" s="5"/>
      <c r="B171" s="5"/>
    </row>
    <row r="172">
      <c r="A172" s="5"/>
      <c r="B172" s="5"/>
    </row>
    <row r="173">
      <c r="A173" s="5"/>
      <c r="B173" s="5"/>
    </row>
    <row r="174">
      <c r="A174" s="5"/>
      <c r="B174" s="5"/>
    </row>
    <row r="175">
      <c r="A175" s="5"/>
      <c r="B175" s="5"/>
    </row>
    <row r="176">
      <c r="A176" s="5"/>
      <c r="B176" s="5"/>
    </row>
    <row r="177">
      <c r="A177" s="5"/>
      <c r="B177" s="5"/>
    </row>
    <row r="178">
      <c r="A178" s="5"/>
      <c r="B178" s="5"/>
    </row>
    <row r="179">
      <c r="A179" s="5"/>
      <c r="B179" s="5"/>
    </row>
    <row r="180">
      <c r="A180" s="5"/>
      <c r="B180" s="5"/>
    </row>
    <row r="181">
      <c r="A181" s="5"/>
      <c r="B181" s="5"/>
    </row>
    <row r="182">
      <c r="A182" s="5"/>
      <c r="B182" s="5"/>
    </row>
    <row r="183">
      <c r="A183" s="5"/>
      <c r="B183" s="5"/>
    </row>
    <row r="184">
      <c r="A184" s="5"/>
      <c r="B184" s="5"/>
    </row>
    <row r="185">
      <c r="A185" s="5"/>
      <c r="B185" s="5"/>
    </row>
    <row r="186">
      <c r="A186" s="5"/>
      <c r="B186" s="5"/>
    </row>
    <row r="187">
      <c r="A187" s="5"/>
      <c r="B187" s="5"/>
    </row>
    <row r="188">
      <c r="A188" s="5"/>
      <c r="B188" s="5"/>
    </row>
    <row r="189">
      <c r="A189" s="5"/>
      <c r="B189" s="5"/>
    </row>
    <row r="190">
      <c r="A190" s="5"/>
      <c r="B190" s="5"/>
    </row>
    <row r="191">
      <c r="A191" s="5"/>
      <c r="B191" s="5"/>
    </row>
    <row r="192">
      <c r="A192" s="5"/>
      <c r="B192" s="5"/>
    </row>
    <row r="193">
      <c r="A193" s="5"/>
      <c r="B193" s="5"/>
    </row>
    <row r="194">
      <c r="A194" s="5"/>
      <c r="B194" s="5"/>
    </row>
    <row r="195">
      <c r="A195" s="5"/>
      <c r="B195" s="5"/>
    </row>
    <row r="196">
      <c r="A196" s="5"/>
      <c r="B196" s="5"/>
    </row>
    <row r="197">
      <c r="A197" s="5"/>
      <c r="B197" s="5"/>
    </row>
    <row r="198">
      <c r="A198" s="5"/>
      <c r="B198" s="5"/>
    </row>
    <row r="199">
      <c r="A199" s="5"/>
      <c r="B199" s="5"/>
    </row>
    <row r="200">
      <c r="A200" s="5"/>
      <c r="B200" s="5"/>
    </row>
    <row r="201">
      <c r="A201" s="5"/>
      <c r="B201" s="5"/>
    </row>
    <row r="202">
      <c r="A202" s="5"/>
      <c r="B202" s="5"/>
    </row>
    <row r="203">
      <c r="A203" s="5"/>
      <c r="B203" s="5"/>
    </row>
    <row r="204">
      <c r="A204" s="5"/>
      <c r="B204" s="5"/>
    </row>
    <row r="205">
      <c r="A205" s="5"/>
      <c r="B205" s="5"/>
    </row>
    <row r="206">
      <c r="A206" s="5"/>
      <c r="B206" s="5"/>
    </row>
    <row r="207">
      <c r="A207" s="5"/>
      <c r="B207" s="5"/>
    </row>
    <row r="208">
      <c r="A208" s="5"/>
      <c r="B208" s="5"/>
    </row>
    <row r="209">
      <c r="A209" s="5"/>
      <c r="B209" s="5"/>
    </row>
    <row r="210">
      <c r="A210" s="5"/>
      <c r="B210" s="5"/>
    </row>
    <row r="211">
      <c r="A211" s="5"/>
      <c r="B211" s="5"/>
    </row>
    <row r="212">
      <c r="A212" s="5"/>
      <c r="B212" s="5"/>
    </row>
    <row r="213">
      <c r="A213" s="5"/>
      <c r="B213" s="5"/>
    </row>
    <row r="214">
      <c r="A214" s="5"/>
      <c r="B214" s="5"/>
    </row>
    <row r="215">
      <c r="A215" s="5"/>
      <c r="B215" s="5"/>
    </row>
    <row r="216">
      <c r="A216" s="5"/>
      <c r="B216" s="5"/>
    </row>
    <row r="217">
      <c r="A217" s="5"/>
      <c r="B217" s="5"/>
    </row>
    <row r="218">
      <c r="A218" s="5"/>
      <c r="B218" s="5"/>
    </row>
    <row r="219">
      <c r="A219" s="5"/>
      <c r="B219" s="5"/>
    </row>
    <row r="220">
      <c r="A220" s="5"/>
      <c r="B220" s="5"/>
    </row>
    <row r="221">
      <c r="A221" s="5"/>
      <c r="B221" s="5"/>
    </row>
    <row r="222">
      <c r="A222" s="5"/>
      <c r="B222" s="5"/>
    </row>
    <row r="223">
      <c r="A223" s="5"/>
      <c r="B223" s="5"/>
    </row>
    <row r="224">
      <c r="A224" s="5"/>
      <c r="B224" s="5"/>
    </row>
    <row r="225">
      <c r="A225" s="5"/>
      <c r="B225" s="5"/>
    </row>
    <row r="226">
      <c r="A226" s="5"/>
      <c r="B226" s="5"/>
    </row>
    <row r="227">
      <c r="A227" s="5"/>
      <c r="B227" s="5"/>
    </row>
    <row r="228">
      <c r="A228" s="5"/>
      <c r="B228" s="5"/>
    </row>
    <row r="229">
      <c r="A229" s="5"/>
      <c r="B229" s="5"/>
    </row>
    <row r="230">
      <c r="A230" s="5"/>
      <c r="B230" s="5"/>
    </row>
    <row r="231">
      <c r="A231" s="5"/>
      <c r="B231" s="5"/>
    </row>
    <row r="232">
      <c r="A232" s="5"/>
      <c r="B232" s="5"/>
    </row>
    <row r="233">
      <c r="A233" s="5"/>
      <c r="B233" s="5"/>
    </row>
    <row r="234">
      <c r="A234" s="5"/>
      <c r="B234" s="5"/>
    </row>
    <row r="235">
      <c r="A235" s="5"/>
      <c r="B235" s="5"/>
    </row>
    <row r="236">
      <c r="A236" s="5"/>
      <c r="B236" s="5"/>
    </row>
    <row r="237">
      <c r="A237" s="5"/>
      <c r="B237" s="5"/>
    </row>
    <row r="238">
      <c r="A238" s="5"/>
      <c r="B238" s="5"/>
    </row>
    <row r="239">
      <c r="A239" s="5"/>
      <c r="B239" s="5"/>
    </row>
    <row r="240">
      <c r="A240" s="5"/>
      <c r="B240" s="5"/>
    </row>
    <row r="241">
      <c r="A241" s="5"/>
      <c r="B241" s="5"/>
    </row>
    <row r="242">
      <c r="A242" s="5"/>
      <c r="B242" s="5"/>
    </row>
    <row r="243">
      <c r="A243" s="5"/>
      <c r="B243" s="5"/>
    </row>
    <row r="244">
      <c r="A244" s="5"/>
      <c r="B244" s="5"/>
    </row>
    <row r="245">
      <c r="A245" s="5"/>
      <c r="B245" s="5"/>
    </row>
    <row r="246">
      <c r="A246" s="5"/>
      <c r="B246" s="5"/>
    </row>
    <row r="247">
      <c r="A247" s="5"/>
      <c r="B247" s="5"/>
    </row>
    <row r="248">
      <c r="A248" s="5"/>
      <c r="B248" s="5"/>
    </row>
    <row r="249">
      <c r="A249" s="5"/>
      <c r="B249" s="5"/>
    </row>
    <row r="250">
      <c r="A250" s="5"/>
      <c r="B250" s="5"/>
    </row>
    <row r="251">
      <c r="A251" s="5"/>
      <c r="B251" s="5"/>
    </row>
    <row r="252">
      <c r="A252" s="5"/>
      <c r="B252" s="5"/>
    </row>
    <row r="253">
      <c r="A253" s="5"/>
      <c r="B253" s="5"/>
    </row>
    <row r="254">
      <c r="A254" s="5"/>
      <c r="B254" s="5"/>
    </row>
    <row r="255">
      <c r="A255" s="5"/>
      <c r="B255" s="5"/>
    </row>
    <row r="256">
      <c r="A256" s="5"/>
      <c r="B256" s="5"/>
    </row>
    <row r="257">
      <c r="A257" s="5"/>
      <c r="B257" s="5"/>
    </row>
    <row r="258">
      <c r="A258" s="5"/>
      <c r="B258" s="5"/>
    </row>
    <row r="259">
      <c r="A259" s="5"/>
      <c r="B259" s="5"/>
    </row>
    <row r="260">
      <c r="A260" s="5"/>
      <c r="B260" s="5"/>
    </row>
    <row r="261">
      <c r="A261" s="5"/>
      <c r="B261" s="5"/>
    </row>
    <row r="262">
      <c r="A262" s="5"/>
      <c r="B262" s="5"/>
    </row>
    <row r="263">
      <c r="A263" s="5"/>
      <c r="B263" s="5"/>
    </row>
    <row r="264">
      <c r="A264" s="5"/>
      <c r="B264" s="5"/>
    </row>
    <row r="265">
      <c r="A265" s="5"/>
      <c r="B265" s="5"/>
    </row>
    <row r="266">
      <c r="A266" s="5"/>
      <c r="B266" s="5"/>
    </row>
    <row r="267">
      <c r="A267" s="5"/>
      <c r="B267" s="5"/>
    </row>
    <row r="268">
      <c r="A268" s="5"/>
      <c r="B268" s="5"/>
    </row>
    <row r="269">
      <c r="A269" s="5"/>
      <c r="B269" s="5"/>
    </row>
    <row r="270">
      <c r="A270" s="5"/>
      <c r="B270" s="5"/>
    </row>
    <row r="271">
      <c r="A271" s="5"/>
      <c r="B271" s="5"/>
    </row>
    <row r="272">
      <c r="A272" s="5"/>
      <c r="B272" s="5"/>
    </row>
    <row r="273">
      <c r="A273" s="5"/>
      <c r="B273" s="5"/>
    </row>
    <row r="274">
      <c r="A274" s="5"/>
      <c r="B274" s="5"/>
    </row>
    <row r="275">
      <c r="A275" s="5"/>
      <c r="B275" s="5"/>
    </row>
    <row r="276">
      <c r="A276" s="5"/>
      <c r="B276" s="5"/>
    </row>
    <row r="277">
      <c r="A277" s="5"/>
      <c r="B277" s="5"/>
    </row>
    <row r="278">
      <c r="A278" s="5"/>
      <c r="B278" s="5"/>
    </row>
    <row r="279">
      <c r="A279" s="5"/>
      <c r="B279" s="5"/>
    </row>
    <row r="280">
      <c r="A280" s="5"/>
      <c r="B280" s="5"/>
    </row>
    <row r="281">
      <c r="A281" s="5"/>
      <c r="B281" s="5"/>
    </row>
    <row r="282">
      <c r="A282" s="5"/>
      <c r="B282" s="5"/>
    </row>
    <row r="283">
      <c r="A283" s="5"/>
      <c r="B283" s="5"/>
    </row>
    <row r="284">
      <c r="A284" s="5"/>
      <c r="B284" s="5"/>
    </row>
    <row r="285">
      <c r="A285" s="5"/>
      <c r="B285" s="5"/>
    </row>
    <row r="286">
      <c r="A286" s="5"/>
      <c r="B286" s="5"/>
    </row>
    <row r="287">
      <c r="A287" s="5"/>
      <c r="B287" s="5"/>
    </row>
    <row r="288">
      <c r="A288" s="5"/>
      <c r="B288" s="5"/>
    </row>
    <row r="289">
      <c r="A289" s="5"/>
      <c r="B289" s="5"/>
    </row>
    <row r="290">
      <c r="A290" s="5"/>
      <c r="B290" s="5"/>
    </row>
    <row r="291">
      <c r="A291" s="5"/>
      <c r="B291" s="5"/>
    </row>
    <row r="292">
      <c r="A292" s="5"/>
      <c r="B292" s="5"/>
    </row>
    <row r="293">
      <c r="A293" s="5"/>
      <c r="B293" s="5"/>
    </row>
    <row r="294">
      <c r="A294" s="5"/>
      <c r="B294" s="5"/>
    </row>
    <row r="295">
      <c r="A295" s="5"/>
      <c r="B295" s="5"/>
    </row>
    <row r="296">
      <c r="A296" s="5"/>
      <c r="B296" s="5"/>
    </row>
    <row r="297">
      <c r="A297" s="5"/>
      <c r="B297" s="5"/>
    </row>
    <row r="298">
      <c r="A298" s="5"/>
      <c r="B298" s="5"/>
    </row>
    <row r="299">
      <c r="A299" s="5"/>
      <c r="B299" s="5"/>
    </row>
    <row r="300">
      <c r="A300" s="5"/>
      <c r="B300" s="5"/>
    </row>
    <row r="301">
      <c r="A301" s="5"/>
      <c r="B301" s="5"/>
    </row>
    <row r="302">
      <c r="A302" s="5"/>
      <c r="B302" s="5"/>
    </row>
    <row r="303">
      <c r="A303" s="5"/>
      <c r="B303" s="5"/>
    </row>
    <row r="304">
      <c r="A304" s="5"/>
      <c r="B304" s="5"/>
    </row>
    <row r="305">
      <c r="A305" s="5"/>
      <c r="B305" s="5"/>
    </row>
    <row r="306">
      <c r="A306" s="5"/>
      <c r="B306" s="5"/>
    </row>
    <row r="307">
      <c r="A307" s="5"/>
      <c r="B307" s="5"/>
    </row>
    <row r="308">
      <c r="A308" s="5"/>
      <c r="B308" s="5"/>
    </row>
    <row r="309">
      <c r="A309" s="5"/>
      <c r="B309" s="5"/>
    </row>
    <row r="310">
      <c r="A310" s="5"/>
      <c r="B310" s="5"/>
    </row>
    <row r="311">
      <c r="A311" s="5"/>
      <c r="B311" s="5"/>
    </row>
    <row r="312">
      <c r="A312" s="5"/>
      <c r="B312" s="5"/>
    </row>
    <row r="313">
      <c r="A313" s="5"/>
      <c r="B313" s="5"/>
    </row>
    <row r="314">
      <c r="A314" s="5"/>
      <c r="B314" s="5"/>
    </row>
    <row r="315">
      <c r="A315" s="5"/>
      <c r="B315" s="5"/>
    </row>
    <row r="316">
      <c r="A316" s="5"/>
      <c r="B316" s="5"/>
    </row>
    <row r="317">
      <c r="A317" s="5"/>
      <c r="B317" s="5"/>
    </row>
    <row r="318">
      <c r="A318" s="5"/>
      <c r="B318" s="5"/>
    </row>
    <row r="319">
      <c r="A319" s="5"/>
      <c r="B319" s="5"/>
    </row>
    <row r="320">
      <c r="A320" s="5"/>
      <c r="B320" s="5"/>
    </row>
    <row r="321">
      <c r="A321" s="5"/>
      <c r="B321" s="5"/>
    </row>
    <row r="322">
      <c r="A322" s="5"/>
      <c r="B322" s="5"/>
    </row>
    <row r="323">
      <c r="A323" s="5"/>
      <c r="B323" s="5"/>
    </row>
    <row r="324">
      <c r="A324" s="5"/>
      <c r="B324" s="5"/>
    </row>
    <row r="325">
      <c r="A325" s="5"/>
      <c r="B325" s="5"/>
    </row>
    <row r="326">
      <c r="A326" s="5"/>
      <c r="B326" s="5"/>
    </row>
    <row r="327">
      <c r="A327" s="5"/>
      <c r="B327" s="5"/>
    </row>
    <row r="328">
      <c r="A328" s="5"/>
      <c r="B328" s="5"/>
    </row>
    <row r="329">
      <c r="A329" s="5"/>
      <c r="B329" s="5"/>
    </row>
    <row r="330">
      <c r="A330" s="5"/>
      <c r="B330" s="5"/>
    </row>
    <row r="331">
      <c r="A331" s="5"/>
      <c r="B331" s="5"/>
    </row>
    <row r="332">
      <c r="A332" s="5"/>
      <c r="B332" s="5"/>
    </row>
    <row r="333">
      <c r="A333" s="5"/>
      <c r="B333" s="5"/>
    </row>
    <row r="334">
      <c r="A334" s="5"/>
      <c r="B334" s="5"/>
    </row>
    <row r="335">
      <c r="A335" s="5"/>
      <c r="B335" s="5"/>
    </row>
    <row r="336">
      <c r="A336" s="5"/>
      <c r="B336" s="5"/>
    </row>
    <row r="337">
      <c r="A337" s="5"/>
      <c r="B337" s="5"/>
    </row>
    <row r="338">
      <c r="A338" s="5"/>
      <c r="B338" s="5"/>
    </row>
    <row r="339">
      <c r="A339" s="5"/>
      <c r="B339" s="5"/>
    </row>
    <row r="340">
      <c r="A340" s="5"/>
      <c r="B340" s="5"/>
    </row>
    <row r="341">
      <c r="A341" s="5"/>
      <c r="B341" s="5"/>
    </row>
    <row r="342">
      <c r="A342" s="5"/>
      <c r="B342" s="5"/>
    </row>
    <row r="343">
      <c r="A343" s="5"/>
      <c r="B343" s="5"/>
    </row>
    <row r="344">
      <c r="A344" s="5"/>
      <c r="B344" s="5"/>
    </row>
    <row r="345">
      <c r="A345" s="5"/>
      <c r="B345" s="5"/>
    </row>
    <row r="346">
      <c r="A346" s="5"/>
      <c r="B346" s="5"/>
    </row>
    <row r="347">
      <c r="A347" s="5"/>
      <c r="B347" s="5"/>
    </row>
    <row r="348">
      <c r="A348" s="5"/>
      <c r="B348" s="5"/>
    </row>
    <row r="349">
      <c r="A349" s="5"/>
      <c r="B349" s="5"/>
    </row>
    <row r="350">
      <c r="A350" s="5"/>
      <c r="B350" s="5"/>
    </row>
    <row r="351">
      <c r="A351" s="5"/>
      <c r="B351" s="5"/>
    </row>
    <row r="352">
      <c r="A352" s="5"/>
      <c r="B352" s="5"/>
    </row>
    <row r="353">
      <c r="A353" s="5"/>
      <c r="B353" s="5"/>
    </row>
    <row r="354">
      <c r="A354" s="5"/>
      <c r="B354" s="5"/>
    </row>
    <row r="355">
      <c r="A355" s="5"/>
      <c r="B355" s="5"/>
    </row>
    <row r="356">
      <c r="A356" s="5"/>
      <c r="B356" s="5"/>
    </row>
    <row r="357">
      <c r="A357" s="5"/>
      <c r="B357" s="5"/>
    </row>
    <row r="358">
      <c r="A358" s="5"/>
      <c r="B358" s="5"/>
    </row>
    <row r="359">
      <c r="A359" s="5"/>
      <c r="B359" s="5"/>
    </row>
    <row r="360">
      <c r="A360" s="5"/>
      <c r="B360" s="5"/>
    </row>
    <row r="361">
      <c r="A361" s="5"/>
      <c r="B361" s="5"/>
    </row>
    <row r="362">
      <c r="A362" s="5"/>
      <c r="B362" s="5"/>
    </row>
    <row r="363">
      <c r="A363" s="5"/>
      <c r="B363" s="5"/>
    </row>
    <row r="364">
      <c r="A364" s="5"/>
      <c r="B364" s="5"/>
    </row>
    <row r="365">
      <c r="A365" s="5"/>
      <c r="B365" s="5"/>
    </row>
    <row r="366">
      <c r="A366" s="5"/>
      <c r="B366" s="5"/>
    </row>
    <row r="367">
      <c r="A367" s="5"/>
      <c r="B367" s="5"/>
    </row>
    <row r="368">
      <c r="A368" s="5"/>
      <c r="B368" s="5"/>
    </row>
    <row r="369">
      <c r="A369" s="5"/>
      <c r="B369" s="5"/>
    </row>
    <row r="370">
      <c r="A370" s="5"/>
      <c r="B370" s="5"/>
    </row>
    <row r="371">
      <c r="A371" s="5"/>
      <c r="B371" s="5"/>
    </row>
    <row r="372">
      <c r="A372" s="5"/>
      <c r="B372" s="5"/>
    </row>
    <row r="373">
      <c r="A373" s="5"/>
      <c r="B373" s="5"/>
    </row>
    <row r="374">
      <c r="A374" s="5"/>
      <c r="B374" s="5"/>
    </row>
    <row r="375">
      <c r="A375" s="5"/>
      <c r="B375" s="5"/>
    </row>
    <row r="376">
      <c r="A376" s="5"/>
      <c r="B376" s="5"/>
    </row>
    <row r="377">
      <c r="A377" s="5"/>
      <c r="B377" s="5"/>
    </row>
    <row r="378">
      <c r="A378" s="5"/>
      <c r="B378" s="5"/>
    </row>
    <row r="379">
      <c r="A379" s="5"/>
      <c r="B379" s="5"/>
    </row>
    <row r="380">
      <c r="A380" s="5"/>
      <c r="B380" s="5"/>
    </row>
    <row r="381">
      <c r="A381" s="5"/>
      <c r="B381" s="5"/>
    </row>
    <row r="382">
      <c r="A382" s="5"/>
      <c r="B382" s="5"/>
    </row>
    <row r="383">
      <c r="A383" s="5"/>
      <c r="B383" s="5"/>
    </row>
    <row r="384">
      <c r="A384" s="5"/>
      <c r="B384" s="5"/>
    </row>
    <row r="385">
      <c r="A385" s="5"/>
      <c r="B385" s="5"/>
    </row>
    <row r="386">
      <c r="A386" s="5"/>
      <c r="B386" s="5"/>
    </row>
    <row r="387">
      <c r="A387" s="5"/>
      <c r="B387" s="5"/>
    </row>
    <row r="388">
      <c r="A388" s="5"/>
      <c r="B388" s="5"/>
    </row>
    <row r="389">
      <c r="A389" s="5"/>
      <c r="B389" s="5"/>
    </row>
    <row r="390">
      <c r="A390" s="5"/>
      <c r="B390" s="5"/>
    </row>
    <row r="391">
      <c r="A391" s="5"/>
      <c r="B391" s="5"/>
    </row>
    <row r="392">
      <c r="A392" s="5"/>
      <c r="B392" s="5"/>
    </row>
    <row r="393">
      <c r="A393" s="5"/>
      <c r="B393" s="5"/>
    </row>
    <row r="394">
      <c r="A394" s="5"/>
      <c r="B394" s="5"/>
    </row>
    <row r="395">
      <c r="A395" s="5"/>
      <c r="B395" s="5"/>
    </row>
    <row r="396">
      <c r="A396" s="5"/>
      <c r="B396" s="5"/>
    </row>
    <row r="397">
      <c r="A397" s="5"/>
      <c r="B397" s="5"/>
    </row>
    <row r="398">
      <c r="A398" s="5"/>
      <c r="B398" s="5"/>
    </row>
    <row r="399">
      <c r="A399" s="5"/>
      <c r="B399" s="5"/>
    </row>
    <row r="400">
      <c r="A400" s="5"/>
      <c r="B400" s="5"/>
    </row>
    <row r="401">
      <c r="A401" s="5"/>
      <c r="B401" s="5"/>
    </row>
    <row r="402">
      <c r="A402" s="5"/>
      <c r="B402" s="5"/>
    </row>
    <row r="403">
      <c r="A403" s="5"/>
      <c r="B403" s="5"/>
    </row>
    <row r="404">
      <c r="A404" s="5"/>
      <c r="B404" s="5"/>
    </row>
    <row r="405">
      <c r="A405" s="5"/>
      <c r="B405" s="5"/>
    </row>
    <row r="406">
      <c r="A406" s="5"/>
      <c r="B406" s="5"/>
    </row>
    <row r="407">
      <c r="A407" s="5"/>
      <c r="B407" s="5"/>
    </row>
    <row r="408">
      <c r="A408" s="5"/>
      <c r="B408" s="5"/>
    </row>
    <row r="409">
      <c r="A409" s="5"/>
      <c r="B409" s="5"/>
    </row>
    <row r="410">
      <c r="A410" s="5"/>
      <c r="B410" s="5"/>
    </row>
    <row r="411">
      <c r="A411" s="5"/>
      <c r="B411" s="5"/>
    </row>
    <row r="412">
      <c r="A412" s="5"/>
      <c r="B412" s="5"/>
    </row>
    <row r="413">
      <c r="A413" s="5"/>
      <c r="B413" s="5"/>
    </row>
    <row r="414">
      <c r="A414" s="5"/>
      <c r="B414" s="5"/>
    </row>
    <row r="415">
      <c r="A415" s="5"/>
      <c r="B415" s="5"/>
    </row>
    <row r="416">
      <c r="A416" s="5"/>
      <c r="B416" s="5"/>
    </row>
    <row r="417">
      <c r="A417" s="5"/>
      <c r="B417" s="5"/>
    </row>
    <row r="418">
      <c r="A418" s="5"/>
      <c r="B418" s="5"/>
    </row>
    <row r="419">
      <c r="A419" s="5"/>
      <c r="B419" s="5"/>
    </row>
    <row r="420">
      <c r="A420" s="5"/>
      <c r="B420" s="5"/>
    </row>
    <row r="421">
      <c r="A421" s="5"/>
      <c r="B421" s="5"/>
    </row>
    <row r="422">
      <c r="A422" s="5"/>
      <c r="B422" s="5"/>
    </row>
    <row r="423">
      <c r="A423" s="5"/>
      <c r="B423" s="5"/>
    </row>
    <row r="424">
      <c r="A424" s="5"/>
      <c r="B424" s="5"/>
    </row>
    <row r="425">
      <c r="A425" s="5"/>
      <c r="B425" s="5"/>
    </row>
    <row r="426">
      <c r="A426" s="5"/>
      <c r="B426" s="5"/>
    </row>
    <row r="427">
      <c r="A427" s="5"/>
      <c r="B427" s="5"/>
    </row>
    <row r="428">
      <c r="A428" s="5"/>
      <c r="B428" s="5"/>
    </row>
    <row r="429">
      <c r="A429" s="5"/>
      <c r="B429" s="5"/>
    </row>
    <row r="430">
      <c r="A430" s="5"/>
      <c r="B430" s="5"/>
    </row>
    <row r="431">
      <c r="A431" s="5"/>
      <c r="B431" s="5"/>
    </row>
    <row r="432">
      <c r="A432" s="5"/>
      <c r="B432" s="5"/>
    </row>
    <row r="433">
      <c r="A433" s="5"/>
      <c r="B433" s="5"/>
    </row>
    <row r="434">
      <c r="A434" s="5"/>
      <c r="B434" s="5"/>
    </row>
    <row r="435">
      <c r="A435" s="5"/>
      <c r="B435" s="5"/>
    </row>
    <row r="436">
      <c r="A436" s="5"/>
      <c r="B436" s="5"/>
    </row>
    <row r="437">
      <c r="A437" s="5"/>
      <c r="B437" s="5"/>
    </row>
    <row r="438">
      <c r="A438" s="5"/>
      <c r="B438" s="5"/>
    </row>
    <row r="439">
      <c r="A439" s="5"/>
      <c r="B439" s="5"/>
    </row>
    <row r="440">
      <c r="A440" s="5"/>
      <c r="B440" s="5"/>
    </row>
    <row r="441">
      <c r="A441" s="5"/>
      <c r="B441" s="5"/>
    </row>
    <row r="442">
      <c r="A442" s="5"/>
      <c r="B442" s="5"/>
    </row>
    <row r="443">
      <c r="A443" s="5"/>
      <c r="B443" s="5"/>
    </row>
    <row r="444">
      <c r="A444" s="5"/>
      <c r="B444" s="5"/>
    </row>
    <row r="445">
      <c r="A445" s="5"/>
      <c r="B445" s="5"/>
    </row>
    <row r="446">
      <c r="A446" s="5"/>
      <c r="B446" s="5"/>
    </row>
    <row r="447">
      <c r="A447" s="5"/>
      <c r="B447" s="5"/>
    </row>
    <row r="448">
      <c r="A448" s="5"/>
      <c r="B448" s="5"/>
    </row>
    <row r="449">
      <c r="A449" s="5"/>
      <c r="B449" s="5"/>
    </row>
    <row r="450">
      <c r="A450" s="5"/>
      <c r="B450" s="5"/>
    </row>
    <row r="451">
      <c r="A451" s="5"/>
      <c r="B451" s="5"/>
    </row>
    <row r="452">
      <c r="A452" s="5"/>
      <c r="B452" s="5"/>
    </row>
    <row r="453">
      <c r="A453" s="5"/>
      <c r="B453" s="5"/>
    </row>
    <row r="454">
      <c r="A454" s="5"/>
      <c r="B454" s="5"/>
    </row>
    <row r="455">
      <c r="A455" s="5"/>
      <c r="B455" s="5"/>
    </row>
    <row r="456">
      <c r="A456" s="5"/>
      <c r="B456" s="5"/>
    </row>
    <row r="457">
      <c r="A457" s="5"/>
      <c r="B457" s="5"/>
    </row>
    <row r="458">
      <c r="A458" s="5"/>
      <c r="B458" s="5"/>
    </row>
    <row r="459">
      <c r="A459" s="5"/>
      <c r="B459" s="5"/>
    </row>
    <row r="460">
      <c r="A460" s="5"/>
      <c r="B460" s="5"/>
    </row>
    <row r="461">
      <c r="A461" s="5"/>
      <c r="B461" s="5"/>
    </row>
    <row r="462">
      <c r="A462" s="5"/>
      <c r="B462" s="5"/>
    </row>
    <row r="463">
      <c r="A463" s="5"/>
      <c r="B463" s="5"/>
    </row>
    <row r="464">
      <c r="A464" s="5"/>
      <c r="B464" s="5"/>
    </row>
    <row r="465">
      <c r="A465" s="5"/>
      <c r="B465" s="5"/>
    </row>
    <row r="466">
      <c r="A466" s="5"/>
      <c r="B466" s="5"/>
    </row>
    <row r="467">
      <c r="A467" s="5"/>
      <c r="B467" s="5"/>
    </row>
    <row r="468">
      <c r="A468" s="5"/>
      <c r="B468" s="5"/>
    </row>
    <row r="469">
      <c r="A469" s="5"/>
      <c r="B469" s="5"/>
    </row>
    <row r="470">
      <c r="A470" s="5"/>
      <c r="B470" s="5"/>
    </row>
    <row r="471">
      <c r="A471" s="5"/>
      <c r="B471" s="5"/>
    </row>
    <row r="472">
      <c r="A472" s="5"/>
      <c r="B472" s="5"/>
    </row>
    <row r="473">
      <c r="A473" s="5"/>
      <c r="B473" s="5"/>
    </row>
    <row r="474">
      <c r="A474" s="5"/>
      <c r="B474" s="5"/>
    </row>
    <row r="475">
      <c r="A475" s="5"/>
      <c r="B475" s="5"/>
    </row>
    <row r="476">
      <c r="A476" s="5"/>
      <c r="B476" s="5"/>
    </row>
    <row r="477">
      <c r="A477" s="5"/>
      <c r="B477" s="5"/>
    </row>
    <row r="478">
      <c r="A478" s="5"/>
      <c r="B478" s="5"/>
    </row>
    <row r="479">
      <c r="A479" s="5"/>
      <c r="B479" s="5"/>
    </row>
    <row r="480">
      <c r="A480" s="5"/>
      <c r="B480" s="5"/>
    </row>
    <row r="481">
      <c r="A481" s="5"/>
      <c r="B481" s="5"/>
    </row>
    <row r="482">
      <c r="A482" s="5"/>
      <c r="B482" s="5"/>
    </row>
    <row r="483">
      <c r="A483" s="5"/>
      <c r="B483" s="5"/>
    </row>
    <row r="484">
      <c r="A484" s="5"/>
      <c r="B484" s="5"/>
    </row>
    <row r="485">
      <c r="A485" s="5"/>
      <c r="B485" s="5"/>
    </row>
    <row r="486">
      <c r="A486" s="5"/>
      <c r="B486" s="5"/>
    </row>
    <row r="487">
      <c r="A487" s="5"/>
      <c r="B487" s="5"/>
    </row>
    <row r="488">
      <c r="A488" s="5"/>
      <c r="B488" s="5"/>
    </row>
    <row r="489">
      <c r="A489" s="5"/>
      <c r="B489" s="5"/>
    </row>
    <row r="490">
      <c r="A490" s="5"/>
      <c r="B490" s="5"/>
    </row>
    <row r="491">
      <c r="A491" s="5"/>
      <c r="B491" s="5"/>
    </row>
    <row r="492">
      <c r="A492" s="5"/>
      <c r="B492" s="5"/>
    </row>
    <row r="493">
      <c r="A493" s="5"/>
      <c r="B493" s="5"/>
    </row>
    <row r="494">
      <c r="A494" s="5"/>
      <c r="B494" s="5"/>
    </row>
    <row r="495">
      <c r="A495" s="5"/>
      <c r="B495" s="5"/>
    </row>
    <row r="496">
      <c r="A496" s="5"/>
      <c r="B496" s="5"/>
    </row>
    <row r="497">
      <c r="A497" s="5"/>
      <c r="B497" s="5"/>
    </row>
    <row r="498">
      <c r="A498" s="5"/>
      <c r="B498" s="5"/>
    </row>
    <row r="499">
      <c r="A499" s="5"/>
      <c r="B499" s="5"/>
    </row>
    <row r="500">
      <c r="A500" s="5"/>
      <c r="B500" s="5"/>
    </row>
    <row r="501">
      <c r="A501" s="5"/>
      <c r="B501" s="5"/>
    </row>
    <row r="502">
      <c r="A502" s="5"/>
      <c r="B502" s="5"/>
    </row>
    <row r="503">
      <c r="A503" s="5"/>
      <c r="B503" s="5"/>
    </row>
    <row r="504">
      <c r="A504" s="5"/>
      <c r="B504" s="5"/>
    </row>
    <row r="505">
      <c r="A505" s="5"/>
      <c r="B505" s="5"/>
    </row>
    <row r="506">
      <c r="A506" s="5"/>
      <c r="B506" s="5"/>
    </row>
    <row r="507">
      <c r="A507" s="5"/>
      <c r="B507" s="5"/>
    </row>
    <row r="508">
      <c r="A508" s="5"/>
      <c r="B508" s="5"/>
    </row>
    <row r="509">
      <c r="A509" s="5"/>
      <c r="B509" s="5"/>
    </row>
    <row r="510">
      <c r="A510" s="5"/>
      <c r="B510" s="5"/>
    </row>
    <row r="511">
      <c r="A511" s="5"/>
      <c r="B511" s="5"/>
    </row>
    <row r="512">
      <c r="A512" s="5"/>
      <c r="B512" s="5"/>
    </row>
    <row r="513">
      <c r="A513" s="5"/>
      <c r="B513" s="5"/>
    </row>
    <row r="514">
      <c r="A514" s="5"/>
      <c r="B514" s="5"/>
    </row>
    <row r="515">
      <c r="A515" s="5"/>
      <c r="B515" s="5"/>
    </row>
    <row r="516">
      <c r="A516" s="5"/>
      <c r="B516" s="5"/>
    </row>
    <row r="517">
      <c r="A517" s="5"/>
      <c r="B517" s="5"/>
    </row>
    <row r="518">
      <c r="A518" s="5"/>
      <c r="B518" s="5"/>
    </row>
    <row r="519">
      <c r="A519" s="5"/>
      <c r="B519" s="5"/>
    </row>
    <row r="520">
      <c r="A520" s="5"/>
      <c r="B520" s="5"/>
    </row>
    <row r="521">
      <c r="A521" s="5"/>
      <c r="B521" s="5"/>
    </row>
    <row r="522">
      <c r="A522" s="5"/>
      <c r="B522" s="5"/>
    </row>
    <row r="523">
      <c r="A523" s="5"/>
      <c r="B523" s="5"/>
    </row>
    <row r="524">
      <c r="A524" s="5"/>
      <c r="B524" s="5"/>
    </row>
    <row r="525">
      <c r="A525" s="5"/>
      <c r="B525" s="5"/>
    </row>
    <row r="526">
      <c r="A526" s="5"/>
      <c r="B526" s="5"/>
    </row>
    <row r="527">
      <c r="A527" s="5"/>
      <c r="B527" s="5"/>
    </row>
    <row r="528">
      <c r="A528" s="5"/>
      <c r="B528" s="5"/>
    </row>
    <row r="529">
      <c r="A529" s="5"/>
      <c r="B529" s="5"/>
    </row>
    <row r="530">
      <c r="A530" s="5"/>
      <c r="B530" s="5"/>
    </row>
    <row r="531">
      <c r="A531" s="5"/>
      <c r="B531" s="5"/>
    </row>
    <row r="532">
      <c r="A532" s="5"/>
      <c r="B532" s="5"/>
    </row>
    <row r="533">
      <c r="A533" s="5"/>
      <c r="B533" s="5"/>
    </row>
    <row r="534">
      <c r="A534" s="5"/>
      <c r="B534" s="5"/>
    </row>
    <row r="535">
      <c r="A535" s="5"/>
      <c r="B535" s="5"/>
    </row>
    <row r="536">
      <c r="A536" s="5"/>
      <c r="B536" s="5"/>
    </row>
    <row r="537">
      <c r="A537" s="5"/>
      <c r="B537" s="5"/>
    </row>
    <row r="538">
      <c r="A538" s="5"/>
      <c r="B538" s="5"/>
    </row>
    <row r="539">
      <c r="A539" s="5"/>
      <c r="B539" s="5"/>
    </row>
    <row r="540">
      <c r="A540" s="5"/>
      <c r="B540" s="5"/>
    </row>
    <row r="541">
      <c r="A541" s="5"/>
      <c r="B541" s="5"/>
    </row>
    <row r="542">
      <c r="A542" s="5"/>
      <c r="B542" s="5"/>
    </row>
    <row r="543">
      <c r="A543" s="5"/>
      <c r="B543" s="5"/>
    </row>
    <row r="544">
      <c r="A544" s="5"/>
      <c r="B544" s="5"/>
    </row>
    <row r="545">
      <c r="A545" s="5"/>
      <c r="B545" s="5"/>
    </row>
    <row r="546">
      <c r="A546" s="5"/>
      <c r="B546" s="5"/>
    </row>
    <row r="547">
      <c r="A547" s="5"/>
      <c r="B547" s="5"/>
    </row>
    <row r="548">
      <c r="A548" s="5"/>
      <c r="B548" s="5"/>
    </row>
    <row r="549">
      <c r="A549" s="5"/>
      <c r="B549" s="5"/>
    </row>
    <row r="550">
      <c r="A550" s="5"/>
      <c r="B550" s="5"/>
    </row>
    <row r="551">
      <c r="A551" s="5"/>
      <c r="B551" s="5"/>
    </row>
    <row r="552">
      <c r="A552" s="5"/>
      <c r="B552" s="5"/>
    </row>
    <row r="553">
      <c r="A553" s="5"/>
      <c r="B553" s="5"/>
    </row>
    <row r="554">
      <c r="A554" s="5"/>
      <c r="B554" s="5"/>
    </row>
    <row r="555">
      <c r="A555" s="5"/>
      <c r="B555" s="5"/>
    </row>
    <row r="556">
      <c r="A556" s="5"/>
      <c r="B556" s="5"/>
    </row>
    <row r="557">
      <c r="A557" s="5"/>
      <c r="B557" s="5"/>
    </row>
    <row r="558">
      <c r="A558" s="5"/>
      <c r="B558" s="5"/>
    </row>
    <row r="559">
      <c r="A559" s="5"/>
      <c r="B559" s="5"/>
    </row>
    <row r="560">
      <c r="A560" s="5"/>
      <c r="B560" s="5"/>
    </row>
    <row r="561">
      <c r="A561" s="5"/>
      <c r="B561" s="5"/>
    </row>
    <row r="562">
      <c r="A562" s="5"/>
      <c r="B562" s="5"/>
    </row>
    <row r="563">
      <c r="A563" s="5"/>
      <c r="B563" s="5"/>
    </row>
    <row r="564">
      <c r="A564" s="5"/>
      <c r="B564" s="5"/>
    </row>
    <row r="565">
      <c r="A565" s="5"/>
      <c r="B565" s="5"/>
    </row>
    <row r="566">
      <c r="A566" s="5"/>
      <c r="B566" s="5"/>
    </row>
    <row r="567">
      <c r="A567" s="5"/>
      <c r="B567" s="5"/>
    </row>
    <row r="568">
      <c r="A568" s="5"/>
      <c r="B568" s="5"/>
    </row>
    <row r="569">
      <c r="A569" s="5"/>
      <c r="B569" s="5"/>
    </row>
    <row r="570">
      <c r="A570" s="5"/>
      <c r="B570" s="5"/>
    </row>
    <row r="571">
      <c r="A571" s="5"/>
      <c r="B571" s="5"/>
    </row>
    <row r="572">
      <c r="A572" s="5"/>
      <c r="B572" s="5"/>
    </row>
    <row r="573">
      <c r="A573" s="5"/>
      <c r="B573" s="5"/>
    </row>
    <row r="574">
      <c r="A574" s="5"/>
      <c r="B574" s="5"/>
    </row>
    <row r="575">
      <c r="A575" s="5"/>
      <c r="B575" s="5"/>
    </row>
    <row r="576">
      <c r="A576" s="5"/>
      <c r="B576" s="5"/>
    </row>
    <row r="577">
      <c r="A577" s="5"/>
      <c r="B577" s="5"/>
    </row>
    <row r="578">
      <c r="A578" s="5"/>
      <c r="B578" s="5"/>
    </row>
    <row r="579">
      <c r="A579" s="5"/>
      <c r="B579" s="5"/>
    </row>
    <row r="580">
      <c r="A580" s="5"/>
      <c r="B580" s="5"/>
    </row>
    <row r="581">
      <c r="A581" s="5"/>
      <c r="B581" s="5"/>
    </row>
    <row r="582">
      <c r="A582" s="5"/>
      <c r="B582" s="5"/>
    </row>
    <row r="583">
      <c r="A583" s="5"/>
      <c r="B583" s="5"/>
    </row>
    <row r="584">
      <c r="A584" s="5"/>
      <c r="B584" s="5"/>
    </row>
    <row r="585">
      <c r="A585" s="5"/>
      <c r="B585" s="5"/>
    </row>
    <row r="586">
      <c r="A586" s="5"/>
      <c r="B586" s="5"/>
    </row>
    <row r="587">
      <c r="A587" s="5"/>
      <c r="B587" s="5"/>
    </row>
    <row r="588">
      <c r="A588" s="5"/>
      <c r="B588" s="5"/>
    </row>
    <row r="589">
      <c r="A589" s="5"/>
      <c r="B589" s="5"/>
    </row>
    <row r="590">
      <c r="A590" s="5"/>
      <c r="B590" s="5"/>
    </row>
    <row r="591">
      <c r="A591" s="5"/>
      <c r="B591" s="5"/>
    </row>
    <row r="592">
      <c r="A592" s="5"/>
      <c r="B592" s="5"/>
    </row>
    <row r="593">
      <c r="A593" s="5"/>
      <c r="B593" s="5"/>
    </row>
    <row r="594">
      <c r="A594" s="5"/>
      <c r="B594" s="5"/>
    </row>
    <row r="595">
      <c r="A595" s="5"/>
      <c r="B595" s="5"/>
    </row>
    <row r="596">
      <c r="A596" s="5"/>
      <c r="B596" s="5"/>
    </row>
    <row r="597">
      <c r="A597" s="5"/>
      <c r="B597" s="5"/>
    </row>
    <row r="598">
      <c r="A598" s="5"/>
      <c r="B598" s="5"/>
    </row>
    <row r="599">
      <c r="A599" s="5"/>
      <c r="B599" s="5"/>
    </row>
    <row r="600">
      <c r="A600" s="5"/>
      <c r="B600" s="5"/>
    </row>
    <row r="601">
      <c r="A601" s="5"/>
      <c r="B601" s="5"/>
    </row>
    <row r="602">
      <c r="A602" s="5"/>
      <c r="B602" s="5"/>
    </row>
    <row r="603">
      <c r="A603" s="5"/>
      <c r="B603" s="5"/>
    </row>
    <row r="604">
      <c r="A604" s="5"/>
      <c r="B604" s="5"/>
    </row>
    <row r="605">
      <c r="A605" s="5"/>
      <c r="B605" s="5"/>
    </row>
    <row r="606">
      <c r="A606" s="5"/>
      <c r="B606" s="5"/>
    </row>
    <row r="607">
      <c r="A607" s="5"/>
      <c r="B607" s="5"/>
    </row>
    <row r="608">
      <c r="A608" s="5"/>
      <c r="B608" s="5"/>
    </row>
    <row r="609">
      <c r="A609" s="5"/>
      <c r="B609" s="5"/>
    </row>
    <row r="610">
      <c r="A610" s="5"/>
      <c r="B610" s="5"/>
    </row>
    <row r="611">
      <c r="A611" s="5"/>
      <c r="B611" s="5"/>
    </row>
    <row r="612">
      <c r="A612" s="5"/>
      <c r="B612" s="5"/>
    </row>
    <row r="613">
      <c r="A613" s="5"/>
      <c r="B613" s="5"/>
    </row>
    <row r="614">
      <c r="A614" s="5"/>
      <c r="B614" s="5"/>
    </row>
    <row r="615">
      <c r="A615" s="5"/>
      <c r="B615" s="5"/>
    </row>
    <row r="616">
      <c r="A616" s="5"/>
      <c r="B616" s="5"/>
    </row>
    <row r="617">
      <c r="A617" s="5"/>
      <c r="B617" s="5"/>
    </row>
    <row r="618">
      <c r="A618" s="5"/>
      <c r="B618" s="5"/>
    </row>
    <row r="619">
      <c r="A619" s="5"/>
      <c r="B619" s="5"/>
    </row>
    <row r="620">
      <c r="A620" s="5"/>
      <c r="B620" s="5"/>
    </row>
    <row r="621">
      <c r="A621" s="5"/>
      <c r="B621" s="5"/>
    </row>
    <row r="622">
      <c r="A622" s="5"/>
      <c r="B622" s="5"/>
    </row>
    <row r="623">
      <c r="A623" s="5"/>
      <c r="B623" s="5"/>
    </row>
    <row r="624">
      <c r="A624" s="5"/>
      <c r="B624" s="5"/>
    </row>
    <row r="625">
      <c r="A625" s="5"/>
      <c r="B625" s="5"/>
    </row>
    <row r="626">
      <c r="A626" s="5"/>
      <c r="B626" s="5"/>
    </row>
    <row r="627">
      <c r="A627" s="5"/>
      <c r="B627" s="5"/>
    </row>
    <row r="628">
      <c r="A628" s="5"/>
      <c r="B628" s="5"/>
    </row>
    <row r="629">
      <c r="A629" s="5"/>
      <c r="B629" s="5"/>
    </row>
    <row r="630">
      <c r="A630" s="5"/>
      <c r="B630" s="5"/>
    </row>
    <row r="631">
      <c r="A631" s="5"/>
      <c r="B631" s="5"/>
    </row>
    <row r="632">
      <c r="A632" s="5"/>
      <c r="B632" s="5"/>
    </row>
    <row r="633">
      <c r="A633" s="5"/>
      <c r="B633" s="5"/>
    </row>
    <row r="634">
      <c r="A634" s="5"/>
      <c r="B634" s="5"/>
    </row>
    <row r="635">
      <c r="A635" s="5"/>
      <c r="B635" s="5"/>
    </row>
    <row r="636">
      <c r="A636" s="5"/>
      <c r="B636" s="5"/>
    </row>
    <row r="637">
      <c r="A637" s="5"/>
      <c r="B637" s="5"/>
    </row>
    <row r="638">
      <c r="A638" s="5"/>
      <c r="B638" s="5"/>
    </row>
    <row r="639">
      <c r="A639" s="5"/>
      <c r="B639" s="5"/>
    </row>
    <row r="640">
      <c r="A640" s="5"/>
      <c r="B640" s="5"/>
    </row>
    <row r="641">
      <c r="A641" s="5"/>
      <c r="B641" s="5"/>
    </row>
    <row r="642">
      <c r="A642" s="5"/>
      <c r="B642" s="5"/>
    </row>
    <row r="643">
      <c r="A643" s="5"/>
      <c r="B643" s="5"/>
    </row>
    <row r="644">
      <c r="A644" s="5"/>
      <c r="B644" s="5"/>
    </row>
    <row r="645">
      <c r="A645" s="5"/>
      <c r="B645" s="5"/>
    </row>
    <row r="646">
      <c r="A646" s="5"/>
      <c r="B646" s="5"/>
    </row>
    <row r="647">
      <c r="A647" s="5"/>
      <c r="B647" s="5"/>
    </row>
    <row r="648">
      <c r="A648" s="5"/>
      <c r="B648" s="5"/>
    </row>
    <row r="649">
      <c r="A649" s="5"/>
      <c r="B649" s="5"/>
    </row>
    <row r="650">
      <c r="A650" s="5"/>
      <c r="B650" s="5"/>
    </row>
    <row r="651">
      <c r="A651" s="5"/>
      <c r="B651" s="5"/>
    </row>
    <row r="652">
      <c r="A652" s="5"/>
      <c r="B652" s="5"/>
    </row>
    <row r="653">
      <c r="A653" s="5"/>
      <c r="B653" s="5"/>
    </row>
    <row r="654">
      <c r="A654" s="5"/>
      <c r="B654" s="5"/>
    </row>
    <row r="655">
      <c r="A655" s="5"/>
      <c r="B655" s="5"/>
    </row>
    <row r="656">
      <c r="A656" s="5"/>
      <c r="B656" s="5"/>
    </row>
    <row r="657">
      <c r="A657" s="5"/>
      <c r="B657" s="5"/>
    </row>
    <row r="658">
      <c r="A658" s="5"/>
      <c r="B658" s="5"/>
    </row>
    <row r="659">
      <c r="A659" s="5"/>
      <c r="B659" s="5"/>
    </row>
    <row r="660">
      <c r="A660" s="5"/>
      <c r="B660" s="5"/>
    </row>
    <row r="661">
      <c r="A661" s="5"/>
      <c r="B661" s="5"/>
    </row>
    <row r="662">
      <c r="A662" s="5"/>
      <c r="B662" s="5"/>
    </row>
    <row r="663">
      <c r="A663" s="5"/>
      <c r="B663" s="5"/>
    </row>
    <row r="664">
      <c r="A664" s="5"/>
      <c r="B664" s="5"/>
    </row>
    <row r="665">
      <c r="A665" s="5"/>
      <c r="B665" s="5"/>
    </row>
    <row r="666">
      <c r="A666" s="5"/>
      <c r="B666" s="5"/>
    </row>
    <row r="667">
      <c r="A667" s="5"/>
      <c r="B667" s="5"/>
    </row>
    <row r="668">
      <c r="A668" s="5"/>
      <c r="B668" s="5"/>
    </row>
    <row r="669">
      <c r="A669" s="5"/>
      <c r="B669" s="5"/>
    </row>
    <row r="670">
      <c r="A670" s="5"/>
      <c r="B670" s="5"/>
    </row>
    <row r="671">
      <c r="A671" s="5"/>
      <c r="B671" s="5"/>
    </row>
    <row r="672">
      <c r="A672" s="5"/>
      <c r="B672" s="5"/>
    </row>
    <row r="673">
      <c r="A673" s="5"/>
      <c r="B673" s="5"/>
    </row>
    <row r="674">
      <c r="A674" s="5"/>
      <c r="B674" s="5"/>
    </row>
    <row r="675">
      <c r="A675" s="5"/>
      <c r="B675" s="5"/>
    </row>
    <row r="676">
      <c r="A676" s="5"/>
      <c r="B676" s="5"/>
    </row>
    <row r="677">
      <c r="A677" s="5"/>
      <c r="B677" s="5"/>
    </row>
    <row r="678">
      <c r="A678" s="5"/>
      <c r="B678" s="5"/>
    </row>
    <row r="679">
      <c r="A679" s="5"/>
      <c r="B679" s="5"/>
    </row>
    <row r="680">
      <c r="A680" s="5"/>
      <c r="B680" s="5"/>
    </row>
    <row r="681">
      <c r="A681" s="5"/>
      <c r="B681" s="5"/>
    </row>
    <row r="682">
      <c r="A682" s="5"/>
      <c r="B682" s="5"/>
    </row>
    <row r="683">
      <c r="A683" s="5"/>
      <c r="B683" s="5"/>
    </row>
    <row r="684">
      <c r="A684" s="5"/>
      <c r="B684" s="5"/>
    </row>
    <row r="685">
      <c r="A685" s="5"/>
      <c r="B685" s="5"/>
    </row>
    <row r="686">
      <c r="A686" s="5"/>
      <c r="B686" s="5"/>
    </row>
    <row r="687">
      <c r="A687" s="5"/>
      <c r="B687" s="5"/>
    </row>
    <row r="688">
      <c r="A688" s="5"/>
      <c r="B688" s="5"/>
    </row>
    <row r="689">
      <c r="A689" s="5"/>
      <c r="B689" s="5"/>
    </row>
    <row r="690">
      <c r="A690" s="5"/>
      <c r="B690" s="5"/>
    </row>
    <row r="691">
      <c r="A691" s="5"/>
      <c r="B691" s="5"/>
    </row>
    <row r="692">
      <c r="A692" s="5"/>
      <c r="B692" s="5"/>
    </row>
    <row r="693">
      <c r="A693" s="5"/>
      <c r="B693" s="5"/>
    </row>
    <row r="694">
      <c r="A694" s="5"/>
      <c r="B694" s="5"/>
    </row>
    <row r="695">
      <c r="A695" s="5"/>
      <c r="B695" s="5"/>
    </row>
    <row r="696">
      <c r="A696" s="5"/>
      <c r="B696" s="5"/>
    </row>
    <row r="697">
      <c r="A697" s="5"/>
      <c r="B697" s="5"/>
    </row>
    <row r="698">
      <c r="A698" s="5"/>
      <c r="B698" s="5"/>
    </row>
    <row r="699">
      <c r="A699" s="5"/>
      <c r="B699" s="5"/>
    </row>
    <row r="700">
      <c r="A700" s="5"/>
      <c r="B700" s="5"/>
    </row>
    <row r="701">
      <c r="A701" s="5"/>
      <c r="B701" s="5"/>
    </row>
    <row r="702">
      <c r="A702" s="5"/>
      <c r="B702" s="5"/>
    </row>
    <row r="703">
      <c r="A703" s="5"/>
      <c r="B703" s="5"/>
    </row>
    <row r="704">
      <c r="A704" s="5"/>
      <c r="B704" s="5"/>
    </row>
    <row r="705">
      <c r="A705" s="5"/>
      <c r="B705" s="5"/>
    </row>
    <row r="706">
      <c r="A706" s="5"/>
      <c r="B706" s="5"/>
    </row>
    <row r="707">
      <c r="A707" s="5"/>
      <c r="B707" s="5"/>
    </row>
    <row r="708">
      <c r="A708" s="5"/>
      <c r="B708" s="5"/>
    </row>
    <row r="709">
      <c r="A709" s="5"/>
      <c r="B709" s="5"/>
    </row>
    <row r="710">
      <c r="A710" s="5"/>
      <c r="B710" s="5"/>
    </row>
    <row r="711">
      <c r="A711" s="5"/>
      <c r="B711" s="5"/>
    </row>
    <row r="712">
      <c r="A712" s="5"/>
      <c r="B712" s="5"/>
    </row>
    <row r="713">
      <c r="A713" s="5"/>
      <c r="B713" s="5"/>
    </row>
    <row r="714">
      <c r="A714" s="5"/>
      <c r="B714" s="5"/>
    </row>
    <row r="715">
      <c r="A715" s="5"/>
      <c r="B715" s="5"/>
    </row>
    <row r="716">
      <c r="A716" s="5"/>
      <c r="B716" s="5"/>
    </row>
    <row r="717">
      <c r="A717" s="5"/>
      <c r="B717" s="5"/>
    </row>
    <row r="718">
      <c r="A718" s="5"/>
      <c r="B718" s="5"/>
    </row>
    <row r="719">
      <c r="A719" s="5"/>
      <c r="B719" s="5"/>
    </row>
    <row r="720">
      <c r="A720" s="5"/>
      <c r="B720" s="5"/>
    </row>
    <row r="721">
      <c r="A721" s="5"/>
      <c r="B721" s="5"/>
    </row>
    <row r="722">
      <c r="A722" s="5"/>
      <c r="B722" s="5"/>
    </row>
    <row r="723">
      <c r="A723" s="5"/>
      <c r="B723" s="5"/>
    </row>
    <row r="724">
      <c r="A724" s="5"/>
      <c r="B724" s="5"/>
    </row>
    <row r="725">
      <c r="A725" s="5"/>
      <c r="B725" s="5"/>
    </row>
    <row r="726">
      <c r="A726" s="5"/>
      <c r="B726" s="5"/>
    </row>
    <row r="727">
      <c r="A727" s="5"/>
      <c r="B727" s="5"/>
    </row>
    <row r="728">
      <c r="A728" s="5"/>
      <c r="B728" s="5"/>
    </row>
    <row r="729">
      <c r="A729" s="5"/>
      <c r="B729" s="5"/>
    </row>
    <row r="730">
      <c r="A730" s="5"/>
      <c r="B730" s="5"/>
    </row>
    <row r="731">
      <c r="A731" s="5"/>
      <c r="B731" s="5"/>
    </row>
    <row r="732">
      <c r="A732" s="5"/>
      <c r="B732" s="5"/>
    </row>
    <row r="733">
      <c r="A733" s="5"/>
      <c r="B733" s="5"/>
    </row>
    <row r="734">
      <c r="A734" s="5"/>
      <c r="B734" s="5"/>
    </row>
    <row r="735">
      <c r="A735" s="5"/>
      <c r="B735" s="5"/>
    </row>
    <row r="736">
      <c r="A736" s="5"/>
      <c r="B736" s="5"/>
    </row>
    <row r="737">
      <c r="A737" s="5"/>
      <c r="B737" s="5"/>
    </row>
    <row r="738">
      <c r="A738" s="5"/>
      <c r="B738" s="5"/>
    </row>
    <row r="739">
      <c r="A739" s="5"/>
      <c r="B739" s="5"/>
    </row>
    <row r="740">
      <c r="A740" s="5"/>
      <c r="B740" s="5"/>
    </row>
    <row r="741">
      <c r="A741" s="5"/>
      <c r="B741" s="5"/>
    </row>
    <row r="742">
      <c r="A742" s="5"/>
      <c r="B742" s="5"/>
    </row>
    <row r="743">
      <c r="A743" s="5"/>
      <c r="B743" s="5"/>
    </row>
    <row r="744">
      <c r="A744" s="5"/>
      <c r="B744" s="5"/>
    </row>
    <row r="745">
      <c r="A745" s="5"/>
      <c r="B745" s="5"/>
    </row>
    <row r="746">
      <c r="A746" s="5"/>
      <c r="B746" s="5"/>
    </row>
    <row r="747">
      <c r="A747" s="5"/>
      <c r="B747" s="5"/>
    </row>
    <row r="748">
      <c r="A748" s="5"/>
      <c r="B748" s="5"/>
    </row>
    <row r="749">
      <c r="A749" s="5"/>
      <c r="B749" s="5"/>
    </row>
    <row r="750">
      <c r="A750" s="5"/>
      <c r="B750" s="5"/>
    </row>
    <row r="751">
      <c r="A751" s="5"/>
      <c r="B751" s="5"/>
    </row>
    <row r="752">
      <c r="A752" s="5"/>
      <c r="B752" s="5"/>
    </row>
    <row r="753">
      <c r="A753" s="5"/>
      <c r="B753" s="5"/>
    </row>
    <row r="754">
      <c r="A754" s="5"/>
      <c r="B754" s="5"/>
    </row>
    <row r="755">
      <c r="A755" s="5"/>
      <c r="B755" s="5"/>
    </row>
    <row r="756">
      <c r="A756" s="5"/>
      <c r="B756" s="5"/>
    </row>
    <row r="757">
      <c r="A757" s="5"/>
      <c r="B757" s="5"/>
    </row>
    <row r="758">
      <c r="A758" s="5"/>
      <c r="B758" s="5"/>
    </row>
    <row r="759">
      <c r="A759" s="5"/>
      <c r="B759" s="5"/>
    </row>
    <row r="760">
      <c r="A760" s="5"/>
      <c r="B760" s="5"/>
    </row>
    <row r="761">
      <c r="A761" s="5"/>
      <c r="B761" s="5"/>
    </row>
    <row r="762">
      <c r="A762" s="5"/>
      <c r="B762" s="5"/>
    </row>
    <row r="763">
      <c r="A763" s="5"/>
      <c r="B763" s="5"/>
    </row>
    <row r="764">
      <c r="A764" s="5"/>
      <c r="B764" s="5"/>
    </row>
    <row r="765">
      <c r="A765" s="5"/>
      <c r="B765" s="5"/>
    </row>
    <row r="766">
      <c r="A766" s="5"/>
      <c r="B766" s="5"/>
    </row>
    <row r="767">
      <c r="A767" s="5"/>
      <c r="B767" s="5"/>
    </row>
    <row r="768">
      <c r="A768" s="5"/>
      <c r="B768" s="5"/>
    </row>
    <row r="769">
      <c r="A769" s="5"/>
      <c r="B769" s="5"/>
    </row>
    <row r="770">
      <c r="A770" s="5"/>
      <c r="B770" s="5"/>
    </row>
    <row r="771">
      <c r="A771" s="5"/>
      <c r="B771" s="5"/>
    </row>
    <row r="772">
      <c r="A772" s="5"/>
      <c r="B772" s="5"/>
    </row>
    <row r="773">
      <c r="A773" s="5"/>
      <c r="B773" s="5"/>
    </row>
    <row r="774">
      <c r="A774" s="5"/>
      <c r="B774" s="5"/>
    </row>
    <row r="775">
      <c r="A775" s="5"/>
      <c r="B775" s="5"/>
    </row>
    <row r="776">
      <c r="A776" s="5"/>
      <c r="B776" s="5"/>
    </row>
    <row r="777">
      <c r="A777" s="5"/>
      <c r="B777" s="5"/>
    </row>
    <row r="778">
      <c r="A778" s="5"/>
      <c r="B778" s="5"/>
    </row>
    <row r="779">
      <c r="A779" s="5"/>
      <c r="B779" s="5"/>
    </row>
    <row r="780">
      <c r="A780" s="5"/>
      <c r="B780" s="5"/>
    </row>
    <row r="781">
      <c r="A781" s="5"/>
      <c r="B781" s="5"/>
    </row>
    <row r="782">
      <c r="A782" s="5"/>
      <c r="B782" s="5"/>
    </row>
    <row r="783">
      <c r="A783" s="5"/>
      <c r="B783" s="5"/>
    </row>
    <row r="784">
      <c r="A784" s="5"/>
      <c r="B784" s="5"/>
    </row>
    <row r="785">
      <c r="A785" s="5"/>
      <c r="B785" s="5"/>
    </row>
    <row r="786">
      <c r="A786" s="5"/>
      <c r="B786" s="5"/>
    </row>
    <row r="787">
      <c r="A787" s="5"/>
      <c r="B787" s="5"/>
    </row>
    <row r="788">
      <c r="A788" s="5"/>
      <c r="B788" s="5"/>
    </row>
    <row r="789">
      <c r="A789" s="5"/>
      <c r="B789" s="5"/>
    </row>
    <row r="790">
      <c r="A790" s="5"/>
      <c r="B790" s="5"/>
    </row>
    <row r="791">
      <c r="A791" s="5"/>
      <c r="B791" s="5"/>
    </row>
    <row r="792">
      <c r="A792" s="5"/>
      <c r="B792" s="5"/>
    </row>
    <row r="793">
      <c r="A793" s="5"/>
      <c r="B793" s="5"/>
    </row>
    <row r="794">
      <c r="A794" s="5"/>
      <c r="B794" s="5"/>
    </row>
    <row r="795">
      <c r="A795" s="5"/>
      <c r="B795" s="5"/>
    </row>
    <row r="796">
      <c r="A796" s="5"/>
      <c r="B796" s="5"/>
    </row>
    <row r="797">
      <c r="A797" s="5"/>
      <c r="B797" s="5"/>
    </row>
    <row r="798">
      <c r="A798" s="5"/>
      <c r="B798" s="5"/>
    </row>
    <row r="799">
      <c r="A799" s="5"/>
      <c r="B799" s="5"/>
    </row>
    <row r="800">
      <c r="A800" s="5"/>
      <c r="B800" s="5"/>
    </row>
    <row r="801">
      <c r="A801" s="5"/>
      <c r="B801" s="5"/>
    </row>
    <row r="802">
      <c r="A802" s="5"/>
      <c r="B802" s="5"/>
    </row>
    <row r="803">
      <c r="A803" s="5"/>
      <c r="B803" s="5"/>
    </row>
    <row r="804">
      <c r="A804" s="5"/>
      <c r="B804" s="5"/>
    </row>
    <row r="805">
      <c r="A805" s="5"/>
      <c r="B805" s="5"/>
    </row>
    <row r="806">
      <c r="A806" s="5"/>
      <c r="B806" s="5"/>
    </row>
    <row r="807">
      <c r="A807" s="5"/>
      <c r="B807" s="5"/>
    </row>
    <row r="808">
      <c r="A808" s="5"/>
      <c r="B808" s="5"/>
    </row>
    <row r="809">
      <c r="A809" s="5"/>
      <c r="B809" s="5"/>
    </row>
    <row r="810">
      <c r="A810" s="5"/>
      <c r="B810" s="5"/>
    </row>
    <row r="811">
      <c r="A811" s="5"/>
      <c r="B811" s="5"/>
    </row>
    <row r="812">
      <c r="A812" s="5"/>
      <c r="B812" s="5"/>
    </row>
    <row r="813">
      <c r="A813" s="5"/>
      <c r="B813" s="5"/>
    </row>
    <row r="814">
      <c r="A814" s="5"/>
      <c r="B814" s="5"/>
    </row>
    <row r="815">
      <c r="A815" s="5"/>
      <c r="B815" s="5"/>
    </row>
    <row r="816">
      <c r="A816" s="5"/>
      <c r="B816" s="5"/>
    </row>
    <row r="817">
      <c r="A817" s="5"/>
      <c r="B817" s="5"/>
    </row>
    <row r="818">
      <c r="A818" s="5"/>
      <c r="B818" s="5"/>
    </row>
    <row r="819">
      <c r="A819" s="5"/>
      <c r="B819" s="5"/>
    </row>
    <row r="820">
      <c r="A820" s="5"/>
      <c r="B820" s="5"/>
    </row>
    <row r="821">
      <c r="A821" s="5"/>
      <c r="B821" s="5"/>
    </row>
    <row r="822">
      <c r="A822" s="5"/>
      <c r="B822" s="5"/>
    </row>
    <row r="823">
      <c r="A823" s="5"/>
      <c r="B823" s="5"/>
    </row>
    <row r="824">
      <c r="A824" s="5"/>
      <c r="B824" s="5"/>
    </row>
    <row r="825">
      <c r="A825" s="5"/>
      <c r="B825" s="5"/>
    </row>
    <row r="826">
      <c r="A826" s="5"/>
      <c r="B826" s="5"/>
    </row>
    <row r="827">
      <c r="A827" s="5"/>
      <c r="B827" s="5"/>
    </row>
    <row r="828">
      <c r="A828" s="5"/>
      <c r="B828" s="5"/>
    </row>
    <row r="829">
      <c r="A829" s="5"/>
      <c r="B829" s="5"/>
    </row>
    <row r="830">
      <c r="A830" s="5"/>
      <c r="B830" s="5"/>
    </row>
    <row r="831">
      <c r="A831" s="5"/>
      <c r="B831" s="5"/>
    </row>
    <row r="832">
      <c r="A832" s="5"/>
      <c r="B832" s="5"/>
    </row>
    <row r="833">
      <c r="A833" s="5"/>
      <c r="B833" s="5"/>
    </row>
    <row r="834">
      <c r="A834" s="5"/>
      <c r="B834" s="5"/>
    </row>
    <row r="835">
      <c r="A835" s="5"/>
      <c r="B835" s="5"/>
    </row>
    <row r="836">
      <c r="A836" s="5"/>
      <c r="B836" s="5"/>
    </row>
    <row r="837">
      <c r="A837" s="5"/>
      <c r="B837" s="5"/>
    </row>
    <row r="838">
      <c r="A838" s="5"/>
      <c r="B838" s="5"/>
    </row>
    <row r="839">
      <c r="A839" s="5"/>
      <c r="B839" s="5"/>
    </row>
    <row r="840">
      <c r="A840" s="5"/>
      <c r="B840" s="5"/>
    </row>
    <row r="841">
      <c r="A841" s="5"/>
      <c r="B841" s="5"/>
    </row>
    <row r="842">
      <c r="A842" s="5"/>
      <c r="B842" s="5"/>
    </row>
    <row r="843">
      <c r="A843" s="5"/>
      <c r="B843" s="5"/>
    </row>
    <row r="844">
      <c r="A844" s="5"/>
      <c r="B844" s="5"/>
    </row>
    <row r="845">
      <c r="A845" s="5"/>
      <c r="B845" s="5"/>
    </row>
    <row r="846">
      <c r="A846" s="5"/>
      <c r="B846" s="5"/>
    </row>
    <row r="847">
      <c r="A847" s="5"/>
      <c r="B847" s="5"/>
    </row>
    <row r="848">
      <c r="A848" s="5"/>
      <c r="B848" s="5"/>
    </row>
    <row r="849">
      <c r="A849" s="5"/>
      <c r="B849" s="5"/>
    </row>
    <row r="850">
      <c r="A850" s="5"/>
      <c r="B850" s="5"/>
    </row>
    <row r="851">
      <c r="A851" s="5"/>
      <c r="B851" s="5"/>
    </row>
    <row r="852">
      <c r="A852" s="5"/>
      <c r="B852" s="5"/>
    </row>
    <row r="853">
      <c r="A853" s="5"/>
      <c r="B853" s="5"/>
    </row>
    <row r="854">
      <c r="A854" s="5"/>
      <c r="B854" s="5"/>
    </row>
    <row r="855">
      <c r="A855" s="5"/>
      <c r="B855" s="5"/>
    </row>
    <row r="856">
      <c r="A856" s="5"/>
      <c r="B856" s="5"/>
    </row>
    <row r="857">
      <c r="A857" s="5"/>
      <c r="B857" s="5"/>
    </row>
    <row r="858">
      <c r="A858" s="5"/>
      <c r="B858" s="5"/>
    </row>
    <row r="859">
      <c r="A859" s="5"/>
      <c r="B859" s="5"/>
    </row>
    <row r="860">
      <c r="A860" s="5"/>
      <c r="B860" s="5"/>
    </row>
    <row r="861">
      <c r="A861" s="5"/>
      <c r="B861" s="5"/>
    </row>
    <row r="862">
      <c r="A862" s="5"/>
      <c r="B862" s="5"/>
    </row>
    <row r="863">
      <c r="A863" s="5"/>
      <c r="B863" s="5"/>
    </row>
    <row r="864">
      <c r="A864" s="5"/>
      <c r="B864" s="5"/>
    </row>
    <row r="865">
      <c r="A865" s="5"/>
      <c r="B865" s="5"/>
    </row>
    <row r="866">
      <c r="A866" s="5"/>
      <c r="B866" s="5"/>
    </row>
    <row r="867">
      <c r="A867" s="5"/>
      <c r="B867" s="5"/>
    </row>
    <row r="868">
      <c r="A868" s="5"/>
      <c r="B868" s="5"/>
    </row>
    <row r="869">
      <c r="A869" s="5"/>
      <c r="B869" s="5"/>
    </row>
    <row r="870">
      <c r="A870" s="5"/>
      <c r="B870" s="5"/>
    </row>
    <row r="871">
      <c r="A871" s="5"/>
      <c r="B871" s="5"/>
    </row>
    <row r="872">
      <c r="A872" s="5"/>
      <c r="B872" s="5"/>
    </row>
    <row r="873">
      <c r="A873" s="5"/>
      <c r="B873" s="5"/>
    </row>
    <row r="874">
      <c r="A874" s="5"/>
      <c r="B874" s="5"/>
    </row>
    <row r="875">
      <c r="A875" s="5"/>
      <c r="B875" s="5"/>
    </row>
    <row r="876">
      <c r="A876" s="5"/>
      <c r="B876" s="5"/>
    </row>
    <row r="877">
      <c r="A877" s="5"/>
      <c r="B877" s="5"/>
    </row>
    <row r="878">
      <c r="A878" s="5"/>
      <c r="B878" s="5"/>
    </row>
    <row r="879">
      <c r="A879" s="5"/>
      <c r="B879" s="5"/>
    </row>
    <row r="880">
      <c r="A880" s="5"/>
      <c r="B880" s="5"/>
    </row>
    <row r="881">
      <c r="A881" s="5"/>
      <c r="B881" s="5"/>
    </row>
    <row r="882">
      <c r="A882" s="5"/>
      <c r="B882" s="5"/>
    </row>
    <row r="883">
      <c r="A883" s="5"/>
      <c r="B883" s="5"/>
    </row>
    <row r="884">
      <c r="A884" s="5"/>
      <c r="B884" s="5"/>
    </row>
    <row r="885">
      <c r="A885" s="5"/>
      <c r="B885" s="5"/>
    </row>
    <row r="886">
      <c r="A886" s="5"/>
      <c r="B886" s="5"/>
    </row>
    <row r="887">
      <c r="A887" s="5"/>
      <c r="B887" s="5"/>
    </row>
    <row r="888">
      <c r="A888" s="5"/>
      <c r="B888" s="5"/>
    </row>
    <row r="889">
      <c r="A889" s="5"/>
      <c r="B889" s="5"/>
    </row>
    <row r="890">
      <c r="A890" s="5"/>
      <c r="B890" s="5"/>
    </row>
    <row r="891">
      <c r="A891" s="5"/>
      <c r="B891" s="5"/>
    </row>
    <row r="892">
      <c r="A892" s="5"/>
      <c r="B892" s="5"/>
    </row>
    <row r="893">
      <c r="A893" s="5"/>
      <c r="B893" s="5"/>
    </row>
    <row r="894">
      <c r="A894" s="5"/>
      <c r="B894" s="5"/>
    </row>
    <row r="895">
      <c r="A895" s="5"/>
      <c r="B895" s="5"/>
    </row>
    <row r="896">
      <c r="A896" s="5"/>
      <c r="B896" s="5"/>
    </row>
    <row r="897">
      <c r="A897" s="5"/>
      <c r="B897" s="5"/>
    </row>
    <row r="898">
      <c r="A898" s="5"/>
      <c r="B898" s="5"/>
    </row>
    <row r="899">
      <c r="A899" s="5"/>
      <c r="B899" s="5"/>
    </row>
    <row r="900">
      <c r="A900" s="5"/>
      <c r="B900" s="5"/>
    </row>
    <row r="901">
      <c r="A901" s="5"/>
      <c r="B901" s="5"/>
    </row>
    <row r="902">
      <c r="A902" s="5"/>
      <c r="B902" s="5"/>
    </row>
    <row r="903">
      <c r="A903" s="5"/>
      <c r="B903" s="5"/>
    </row>
    <row r="904">
      <c r="A904" s="5"/>
      <c r="B904" s="5"/>
    </row>
    <row r="905">
      <c r="A905" s="5"/>
      <c r="B905" s="5"/>
    </row>
    <row r="906">
      <c r="A906" s="5"/>
      <c r="B906" s="5"/>
    </row>
    <row r="907">
      <c r="A907" s="5"/>
      <c r="B907" s="5"/>
    </row>
    <row r="908">
      <c r="A908" s="5"/>
      <c r="B908" s="5"/>
    </row>
    <row r="909">
      <c r="A909" s="5"/>
      <c r="B909" s="5"/>
    </row>
    <row r="910">
      <c r="A910" s="5"/>
      <c r="B910" s="5"/>
    </row>
    <row r="911">
      <c r="A911" s="5"/>
      <c r="B911" s="5"/>
    </row>
    <row r="912">
      <c r="A912" s="5"/>
      <c r="B912" s="5"/>
    </row>
    <row r="913">
      <c r="A913" s="5"/>
      <c r="B913" s="5"/>
    </row>
    <row r="914">
      <c r="A914" s="5"/>
      <c r="B914" s="5"/>
    </row>
    <row r="915">
      <c r="A915" s="5"/>
      <c r="B915" s="5"/>
    </row>
    <row r="916">
      <c r="A916" s="5"/>
      <c r="B916" s="5"/>
    </row>
    <row r="917">
      <c r="A917" s="5"/>
      <c r="B917" s="5"/>
    </row>
    <row r="918">
      <c r="A918" s="5"/>
      <c r="B918" s="5"/>
    </row>
    <row r="919">
      <c r="A919" s="5"/>
      <c r="B919" s="5"/>
    </row>
    <row r="920">
      <c r="A920" s="5"/>
      <c r="B920" s="5"/>
    </row>
    <row r="921">
      <c r="A921" s="5"/>
      <c r="B921" s="5"/>
    </row>
    <row r="922">
      <c r="A922" s="5"/>
      <c r="B922" s="5"/>
    </row>
    <row r="923">
      <c r="A923" s="5"/>
      <c r="B923" s="5"/>
    </row>
    <row r="924">
      <c r="A924" s="5"/>
      <c r="B924" s="5"/>
    </row>
    <row r="925">
      <c r="A925" s="5"/>
      <c r="B925" s="5"/>
    </row>
    <row r="926">
      <c r="A926" s="5"/>
      <c r="B926" s="5"/>
    </row>
    <row r="927">
      <c r="A927" s="5"/>
      <c r="B927" s="5"/>
    </row>
    <row r="928">
      <c r="A928" s="5"/>
      <c r="B928" s="5"/>
    </row>
    <row r="929">
      <c r="A929" s="5"/>
      <c r="B929" s="5"/>
    </row>
    <row r="930">
      <c r="A930" s="5"/>
      <c r="B930" s="5"/>
    </row>
    <row r="931">
      <c r="A931" s="5"/>
      <c r="B931" s="5"/>
    </row>
    <row r="932">
      <c r="A932" s="5"/>
      <c r="B932" s="5"/>
    </row>
    <row r="933">
      <c r="A933" s="5"/>
      <c r="B933" s="5"/>
    </row>
    <row r="934">
      <c r="A934" s="5"/>
      <c r="B934" s="5"/>
    </row>
    <row r="935">
      <c r="A935" s="5"/>
      <c r="B935" s="5"/>
    </row>
    <row r="936">
      <c r="A936" s="5"/>
      <c r="B936" s="5"/>
    </row>
    <row r="937">
      <c r="A937" s="5"/>
      <c r="B937" s="5"/>
    </row>
    <row r="938">
      <c r="A938" s="5"/>
      <c r="B938" s="5"/>
    </row>
    <row r="939">
      <c r="A939" s="5"/>
      <c r="B939" s="5"/>
    </row>
    <row r="940">
      <c r="A940" s="5"/>
      <c r="B940" s="5"/>
    </row>
    <row r="941">
      <c r="A941" s="5"/>
      <c r="B941" s="5"/>
    </row>
    <row r="942">
      <c r="A942" s="5"/>
      <c r="B942" s="5"/>
    </row>
    <row r="943">
      <c r="A943" s="5"/>
      <c r="B943" s="5"/>
    </row>
    <row r="944">
      <c r="A944" s="5"/>
      <c r="B944" s="5"/>
    </row>
    <row r="945">
      <c r="A945" s="5"/>
      <c r="B945" s="5"/>
    </row>
    <row r="946">
      <c r="A946" s="5"/>
      <c r="B946" s="5"/>
    </row>
    <row r="947">
      <c r="A947" s="5"/>
      <c r="B947" s="5"/>
    </row>
    <row r="948">
      <c r="A948" s="5"/>
      <c r="B948" s="5"/>
    </row>
    <row r="949">
      <c r="A949" s="5"/>
      <c r="B949" s="5"/>
    </row>
    <row r="950">
      <c r="A950" s="5"/>
      <c r="B950" s="5"/>
    </row>
    <row r="951">
      <c r="A951" s="5"/>
      <c r="B951" s="5"/>
    </row>
    <row r="952">
      <c r="A952" s="5"/>
      <c r="B952" s="5"/>
    </row>
    <row r="953">
      <c r="A953" s="5"/>
      <c r="B953" s="5"/>
    </row>
    <row r="954">
      <c r="A954" s="5"/>
      <c r="B954" s="5"/>
    </row>
    <row r="955">
      <c r="A955" s="5"/>
      <c r="B955" s="5"/>
    </row>
    <row r="956">
      <c r="A956" s="5"/>
      <c r="B956" s="5"/>
    </row>
    <row r="957">
      <c r="A957" s="5"/>
      <c r="B957" s="5"/>
    </row>
    <row r="958">
      <c r="A958" s="5"/>
      <c r="B958" s="5"/>
    </row>
    <row r="959">
      <c r="A959" s="5"/>
      <c r="B959" s="5"/>
    </row>
    <row r="960">
      <c r="A960" s="5"/>
      <c r="B960" s="5"/>
    </row>
    <row r="961">
      <c r="A961" s="5"/>
      <c r="B961" s="5"/>
    </row>
    <row r="962">
      <c r="A962" s="5"/>
      <c r="B962" s="5"/>
    </row>
    <row r="963">
      <c r="A963" s="5"/>
      <c r="B963" s="5"/>
    </row>
    <row r="964">
      <c r="A964" s="5"/>
      <c r="B964" s="5"/>
    </row>
    <row r="965">
      <c r="A965" s="5"/>
      <c r="B965" s="5"/>
    </row>
    <row r="966">
      <c r="A966" s="5"/>
      <c r="B966" s="5"/>
    </row>
    <row r="967">
      <c r="A967" s="5"/>
      <c r="B967" s="5"/>
    </row>
    <row r="968">
      <c r="A968" s="5"/>
      <c r="B968" s="5"/>
    </row>
    <row r="969">
      <c r="A969" s="5"/>
      <c r="B969" s="5"/>
    </row>
    <row r="970">
      <c r="A970" s="5"/>
      <c r="B970" s="5"/>
    </row>
    <row r="971">
      <c r="A971" s="5"/>
      <c r="B971" s="5"/>
    </row>
    <row r="972">
      <c r="A972" s="5"/>
      <c r="B972" s="5"/>
    </row>
    <row r="973">
      <c r="A973" s="5"/>
      <c r="B973" s="5"/>
    </row>
    <row r="974">
      <c r="A974" s="5"/>
      <c r="B974" s="5"/>
    </row>
    <row r="975">
      <c r="A975" s="5"/>
      <c r="B975" s="5"/>
    </row>
    <row r="976">
      <c r="A976" s="5"/>
      <c r="B976" s="5"/>
    </row>
    <row r="977">
      <c r="A977" s="5"/>
      <c r="B977" s="5"/>
    </row>
    <row r="978">
      <c r="A978" s="5"/>
      <c r="B978" s="5"/>
    </row>
    <row r="979">
      <c r="A979" s="5"/>
      <c r="B979" s="5"/>
    </row>
    <row r="980">
      <c r="A980" s="5"/>
      <c r="B980" s="5"/>
    </row>
    <row r="981">
      <c r="A981" s="5"/>
      <c r="B981" s="5"/>
    </row>
    <row r="982">
      <c r="A982" s="5"/>
      <c r="B982" s="5"/>
    </row>
    <row r="983">
      <c r="A983" s="5"/>
      <c r="B983" s="5"/>
    </row>
    <row r="984">
      <c r="A984" s="5"/>
      <c r="B984" s="5"/>
    </row>
    <row r="985">
      <c r="A985" s="5"/>
      <c r="B985" s="5"/>
    </row>
    <row r="986">
      <c r="A986" s="5"/>
      <c r="B986" s="5"/>
    </row>
    <row r="987">
      <c r="A987" s="5"/>
      <c r="B987" s="5"/>
    </row>
    <row r="988">
      <c r="A988" s="5"/>
      <c r="B988" s="5"/>
    </row>
    <row r="989">
      <c r="A989" s="5"/>
      <c r="B989" s="5"/>
    </row>
    <row r="990">
      <c r="A990" s="5"/>
      <c r="B990" s="5"/>
    </row>
    <row r="991">
      <c r="A991" s="5"/>
      <c r="B991" s="5"/>
    </row>
    <row r="992">
      <c r="A992" s="5"/>
      <c r="B992" s="5"/>
    </row>
    <row r="993">
      <c r="A993" s="5"/>
      <c r="B993" s="5"/>
    </row>
    <row r="994">
      <c r="A994" s="5"/>
      <c r="B994" s="5"/>
    </row>
    <row r="995">
      <c r="A995" s="5"/>
      <c r="B995" s="5"/>
    </row>
    <row r="996">
      <c r="A996" s="5"/>
      <c r="B996" s="5"/>
    </row>
    <row r="997">
      <c r="A997" s="5"/>
      <c r="B997" s="5"/>
    </row>
    <row r="998">
      <c r="A998" s="5"/>
      <c r="B998" s="5"/>
    </row>
    <row r="999">
      <c r="A999" s="5"/>
      <c r="B999" s="5"/>
    </row>
    <row r="1000">
      <c r="A1000" s="5"/>
      <c r="B1000"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4.25"/>
    <col customWidth="1" min="2" max="2" width="66.38"/>
  </cols>
  <sheetData>
    <row r="1">
      <c r="A1" s="2" t="s">
        <v>56</v>
      </c>
      <c r="B1" s="5" t="str">
        <f>IFERROR(__xludf.DUMMYFUNCTION("GOOGLETRANSLATE(A1,""ja"",""vi"")"),"[00:00:05-00:00:42][Tanaka] Chào mọi người. Chúng ta hãy bắt đầu cuộc họp thường kỳ. Chương trình nghị sự hôm nay gồm ba điểm. Thứ nhất, chúng ta sẽ xem xét tiến độ các dự án, sau đó chúng ta sẽ xem xét ngân sách quý hai, và cuối cùng, chúng ta sẽ thảo lu"&amp;"ận về phản hồi của chúng ta đối với chính sách năng lượng mới. Cảm ơn.")</f>
        <v>[00:00:05-00:00:42][Tanaka] Chào mọi người. Chúng ta hãy bắt đầu cuộc họp thường kỳ. Chương trình nghị sự hôm nay gồm ba điểm. Thứ nhất, chúng ta sẽ xem xét tiến độ các dự án, sau đó chúng ta sẽ xem xét ngân sách quý hai, và cuối cùng, chúng ta sẽ thảo luận về phản hồi của chúng ta đối với chính sách năng lượng mới. Cảm ơn.</v>
      </c>
      <c r="C1" s="5"/>
      <c r="D1" s="5"/>
      <c r="E1" s="5"/>
      <c r="F1" s="5"/>
      <c r="G1" s="5"/>
      <c r="H1" s="5"/>
      <c r="I1" s="5"/>
      <c r="J1" s="5"/>
      <c r="K1" s="5"/>
      <c r="L1" s="5"/>
      <c r="M1" s="5"/>
      <c r="N1" s="5"/>
      <c r="O1" s="5"/>
      <c r="P1" s="5"/>
      <c r="Q1" s="5"/>
      <c r="R1" s="5"/>
      <c r="S1" s="5"/>
      <c r="T1" s="5"/>
      <c r="U1" s="5"/>
      <c r="V1" s="5"/>
      <c r="W1" s="5"/>
      <c r="X1" s="5"/>
      <c r="Y1" s="5"/>
      <c r="Z1" s="5"/>
    </row>
    <row r="2">
      <c r="A2" s="2" t="s">
        <v>57</v>
      </c>
      <c r="B2" s="5" t="str">
        <f>IFERROR(__xludf.DUMMYFUNCTION("GOOGLETRANSLATE(A2,""ja"",""vi"")"),"[00:00:42-00:00:55][Suzuki] Cảm ơn trước.")</f>
        <v>[00:00:42-00:00:55][Suzuki] Cảm ơn trước.</v>
      </c>
      <c r="C2" s="5"/>
      <c r="D2" s="5"/>
      <c r="E2" s="5"/>
      <c r="F2" s="5"/>
      <c r="G2" s="5"/>
      <c r="H2" s="5"/>
      <c r="I2" s="5"/>
      <c r="J2" s="5"/>
      <c r="K2" s="5"/>
      <c r="L2" s="5"/>
      <c r="M2" s="5"/>
      <c r="N2" s="5"/>
      <c r="O2" s="5"/>
      <c r="P2" s="5"/>
      <c r="Q2" s="5"/>
      <c r="R2" s="5"/>
      <c r="S2" s="5"/>
      <c r="T2" s="5"/>
      <c r="U2" s="5"/>
      <c r="V2" s="5"/>
      <c r="W2" s="5"/>
      <c r="X2" s="5"/>
      <c r="Y2" s="5"/>
      <c r="Z2" s="5"/>
    </row>
    <row r="3">
      <c r="A3" s="2" t="s">
        <v>58</v>
      </c>
      <c r="B3" s="5" t="str">
        <f>IFERROR(__xludf.DUMMYFUNCTION("GOOGLETRANSLATE(A3,""ja"",""vi"")"),"[00:00:55-00:01:10][Sato] Cảm ơn trước.")</f>
        <v>[00:00:55-00:01:10][Sato] Cảm ơn trước.</v>
      </c>
      <c r="C3" s="5"/>
      <c r="D3" s="5"/>
      <c r="E3" s="5"/>
      <c r="F3" s="5"/>
      <c r="G3" s="5"/>
      <c r="H3" s="5"/>
      <c r="I3" s="5"/>
      <c r="J3" s="5"/>
      <c r="K3" s="5"/>
      <c r="L3" s="5"/>
      <c r="M3" s="5"/>
      <c r="N3" s="5"/>
      <c r="O3" s="5"/>
      <c r="P3" s="5"/>
      <c r="Q3" s="5"/>
      <c r="R3" s="5"/>
      <c r="S3" s="5"/>
      <c r="T3" s="5"/>
      <c r="U3" s="5"/>
      <c r="V3" s="5"/>
      <c r="W3" s="5"/>
      <c r="X3" s="5"/>
      <c r="Y3" s="5"/>
      <c r="Z3" s="5"/>
    </row>
    <row r="4">
      <c r="A4" s="2" t="s">
        <v>59</v>
      </c>
      <c r="B4" s="5" t="str">
        <f>IFERROR(__xludf.DUMMYFUNCTION("GOOGLETRANSLATE(A4,""ja"",""vi"")"),"[00:01:10-00:01:25][Yamada] Cảm ơn sự hợp tác của bạn.")</f>
        <v>[00:01:10-00:01:25][Yamada] Cảm ơn sự hợp tác của bạn.</v>
      </c>
      <c r="C4" s="5"/>
      <c r="D4" s="5"/>
      <c r="E4" s="5"/>
      <c r="F4" s="5"/>
      <c r="G4" s="5"/>
      <c r="H4" s="5"/>
      <c r="I4" s="5"/>
      <c r="J4" s="5"/>
      <c r="K4" s="5"/>
      <c r="L4" s="5"/>
      <c r="M4" s="5"/>
      <c r="N4" s="5"/>
      <c r="O4" s="5"/>
      <c r="P4" s="5"/>
      <c r="Q4" s="5"/>
      <c r="R4" s="5"/>
      <c r="S4" s="5"/>
      <c r="T4" s="5"/>
      <c r="U4" s="5"/>
      <c r="V4" s="5"/>
      <c r="W4" s="5"/>
      <c r="X4" s="5"/>
      <c r="Y4" s="5"/>
      <c r="Z4" s="5"/>
    </row>
    <row r="5">
      <c r="A5" s="2" t="s">
        <v>60</v>
      </c>
      <c r="B5" s="5" t="str">
        <f>IFERROR(__xludf.DUMMYFUNCTION("GOOGLETRANSLATE(A5,""ja"",""vi"")"),"[00:01:25-00:02:20][Tanaka] Trước tiên, tôi muốn chia sẻ tình hình chung. Theo báo cáo của bộ phận bán hàng tuần trước, tỷ lệ đạt chỉ tiêu doanh số quý đầu tiên là 95%. Chúng ta chưa đạt được mục tiêu, nhưng đã có những dấu hiệu phục hồi kể từ đầu tháng n"&amp;"ày.")</f>
        <v>[00:01:25-00:02:20][Tanaka] Trước tiên, tôi muốn chia sẻ tình hình chung. Theo báo cáo của bộ phận bán hàng tuần trước, tỷ lệ đạt chỉ tiêu doanh số quý đầu tiên là 95%. Chúng ta chưa đạt được mục tiêu, nhưng đã có những dấu hiệu phục hồi kể từ đầu tháng này.</v>
      </c>
      <c r="C5" s="5"/>
      <c r="D5" s="5"/>
      <c r="E5" s="5"/>
      <c r="F5" s="5"/>
      <c r="G5" s="5"/>
      <c r="H5" s="5"/>
      <c r="I5" s="5"/>
      <c r="J5" s="5"/>
      <c r="K5" s="5"/>
      <c r="L5" s="5"/>
      <c r="M5" s="5"/>
      <c r="N5" s="5"/>
      <c r="O5" s="5"/>
      <c r="P5" s="5"/>
      <c r="Q5" s="5"/>
      <c r="R5" s="5"/>
      <c r="S5" s="5"/>
      <c r="T5" s="5"/>
      <c r="U5" s="5"/>
      <c r="V5" s="5"/>
      <c r="W5" s="5"/>
      <c r="X5" s="5"/>
      <c r="Y5" s="5"/>
      <c r="Z5" s="5"/>
    </row>
    <row r="6">
      <c r="A6" s="2" t="s">
        <v>61</v>
      </c>
      <c r="B6" s="5" t="str">
        <f>IFERROR(__xludf.DUMMYFUNCTION("GOOGLETRANSLATE(A6,""ja"",""vi"")"),"[00:02:20-00:02:50][Yamada] Tôi muốn bổ sung thêm một vài điều. Nguyên nhân chính dẫn đến sự tăng trưởng chậm chạp trong số liệu tuần trước là do sự chậm trễ trong việc hoàn tất hợp đồng với khách hàng lớn của chúng tôi, Công ty A. Chúng tôi hy vọng sẽ gi"&amp;"ải quyết vấn đề này với Công ty A trong tuần này.")</f>
        <v>[00:02:20-00:02:50][Yamada] Tôi muốn bổ sung thêm một vài điều. Nguyên nhân chính dẫn đến sự tăng trưởng chậm chạp trong số liệu tuần trước là do sự chậm trễ trong việc hoàn tất hợp đồng với khách hàng lớn của chúng tôi, Công ty A. Chúng tôi hy vọng sẽ giải quyết vấn đề này với Công ty A trong tuần này.</v>
      </c>
      <c r="C6" s="5"/>
      <c r="D6" s="5"/>
      <c r="E6" s="5"/>
      <c r="F6" s="5"/>
      <c r="G6" s="5"/>
      <c r="H6" s="5"/>
      <c r="I6" s="5"/>
      <c r="J6" s="5"/>
      <c r="K6" s="5"/>
      <c r="L6" s="5"/>
      <c r="M6" s="5"/>
      <c r="N6" s="5"/>
      <c r="O6" s="5"/>
      <c r="P6" s="5"/>
      <c r="Q6" s="5"/>
      <c r="R6" s="5"/>
      <c r="S6" s="5"/>
      <c r="T6" s="5"/>
      <c r="U6" s="5"/>
      <c r="V6" s="5"/>
      <c r="W6" s="5"/>
      <c r="X6" s="5"/>
      <c r="Y6" s="5"/>
      <c r="Z6" s="5"/>
    </row>
    <row r="7">
      <c r="A7" s="2" t="s">
        <v>62</v>
      </c>
      <c r="B7" s="5" t="str">
        <f>IFERROR(__xludf.DUMMYFUNCTION("GOOGLETRANSLATE(A7,""ja"",""vi"")"),"[00:02:50-00:03:15][Tanaka] Cảm ơn. Bây giờ chúng ta hãy chuyển sang mục đầu tiên trong chương trình nghị sự, tiến độ dự án. Suzuki, bạn có thể cập nhật cho chúng tôi về tình trạng của nhóm phát triển được không?")</f>
        <v>[00:02:50-00:03:15][Tanaka] Cảm ơn. Bây giờ chúng ta hãy chuyển sang mục đầu tiên trong chương trình nghị sự, tiến độ dự án. Suzuki, bạn có thể cập nhật cho chúng tôi về tình trạng của nhóm phát triển được không?</v>
      </c>
      <c r="C7" s="5"/>
      <c r="D7" s="5"/>
      <c r="E7" s="5"/>
      <c r="F7" s="5"/>
      <c r="G7" s="5"/>
      <c r="H7" s="5"/>
      <c r="I7" s="5"/>
      <c r="J7" s="5"/>
      <c r="K7" s="5"/>
      <c r="L7" s="5"/>
      <c r="M7" s="5"/>
      <c r="N7" s="5"/>
      <c r="O7" s="5"/>
      <c r="P7" s="5"/>
      <c r="Q7" s="5"/>
      <c r="R7" s="5"/>
      <c r="S7" s="5"/>
      <c r="T7" s="5"/>
      <c r="U7" s="5"/>
      <c r="V7" s="5"/>
      <c r="W7" s="5"/>
      <c r="X7" s="5"/>
      <c r="Y7" s="5"/>
      <c r="Z7" s="5"/>
    </row>
    <row r="8">
      <c r="A8" s="2" t="s">
        <v>63</v>
      </c>
      <c r="B8" s="5" t="str">
        <f>IFERROR(__xludf.DUMMYFUNCTION("GOOGLETRANSLATE(A8,""ja"",""vi"")"),"[00:03:15-00:04:10][Suzuki] Vâng. Hiện tại chúng tôi đang phát triển phiên bản 2.3 của hệ thống nhận dạng giọng nói. Các chức năng chính đã được triển khai và hiện chúng tôi đang trong giai đoạn thử nghiệm. Chúng tôi đã hoàn thành khoảng 70% các mục thử n"&amp;"ghiệm. Chúng tôi dự kiến ​​sẽ phát hành phiên bản beta vào ngày 15 tháng tới theo kế hoạch.")</f>
        <v>[00:03:15-00:04:10][Suzuki] Vâng. Hiện tại chúng tôi đang phát triển phiên bản 2.3 của hệ thống nhận dạng giọng nói. Các chức năng chính đã được triển khai và hiện chúng tôi đang trong giai đoạn thử nghiệm. Chúng tôi đã hoàn thành khoảng 70% các mục thử nghiệm. Chúng tôi dự kiến ​​sẽ phát hành phiên bản beta vào ngày 15 tháng tới theo kế hoạch.</v>
      </c>
      <c r="C8" s="5"/>
      <c r="D8" s="5"/>
      <c r="E8" s="5"/>
      <c r="F8" s="5"/>
      <c r="G8" s="5"/>
      <c r="H8" s="5"/>
      <c r="I8" s="5"/>
      <c r="J8" s="5"/>
      <c r="K8" s="5"/>
      <c r="L8" s="5"/>
      <c r="M8" s="5"/>
      <c r="N8" s="5"/>
      <c r="O8" s="5"/>
      <c r="P8" s="5"/>
      <c r="Q8" s="5"/>
      <c r="R8" s="5"/>
      <c r="S8" s="5"/>
      <c r="T8" s="5"/>
      <c r="U8" s="5"/>
      <c r="V8" s="5"/>
      <c r="W8" s="5"/>
      <c r="X8" s="5"/>
      <c r="Y8" s="5"/>
      <c r="Z8" s="5"/>
    </row>
    <row r="9">
      <c r="A9" s="2" t="s">
        <v>64</v>
      </c>
      <c r="B9" s="5" t="str">
        <f>IFERROR(__xludf.DUMMYFUNCTION("GOOGLETRANSLATE(A9,""ja"",""vi"")"),"[00:04:10-00:04:30][Tanaka] Có vẻ như chúng ta sẽ duy trì được lịch trình.")</f>
        <v>[00:04:10-00:04:30][Tanaka] Có vẻ như chúng ta sẽ duy trì được lịch trình.</v>
      </c>
      <c r="C9" s="5"/>
      <c r="D9" s="5"/>
      <c r="E9" s="5"/>
      <c r="F9" s="5"/>
      <c r="G9" s="5"/>
      <c r="H9" s="5"/>
      <c r="I9" s="5"/>
      <c r="J9" s="5"/>
      <c r="K9" s="5"/>
      <c r="L9" s="5"/>
      <c r="M9" s="5"/>
      <c r="N9" s="5"/>
      <c r="O9" s="5"/>
      <c r="P9" s="5"/>
      <c r="Q9" s="5"/>
      <c r="R9" s="5"/>
      <c r="S9" s="5"/>
      <c r="T9" s="5"/>
      <c r="U9" s="5"/>
      <c r="V9" s="5"/>
      <c r="W9" s="5"/>
      <c r="X9" s="5"/>
      <c r="Y9" s="5"/>
      <c r="Z9" s="5"/>
    </row>
    <row r="10">
      <c r="A10" s="2" t="s">
        <v>65</v>
      </c>
      <c r="B10" s="5" t="str">
        <f>IFERROR(__xludf.DUMMYFUNCTION("GOOGLETRANSLATE(A10,""ja"",""vi"")"),"[00:04:30-00:05:20][Suzuki] Vâng. Tuy nhiên, có một vấn đề đáng lo ngại. Chúng tôi đã phát hiện ra một sự cố ngoài dự kiến ​​với thuật toán khử nhiễu. Trong một số môi trường nhất định, độ chính xác nhận dạng giọng nói có thể giảm khoảng 10%. Chúng tôi dự"&amp;" kiến ​​sẽ khắc phục sự cố này vào tuần tới, nhưng nếu kéo dài, nó có thể ảnh hưởng đến tiến độ.")</f>
        <v>[00:04:30-00:05:20][Suzuki] Vâng. Tuy nhiên, có một vấn đề đáng lo ngại. Chúng tôi đã phát hiện ra một sự cố ngoài dự kiến ​​với thuật toán khử nhiễu. Trong một số môi trường nhất định, độ chính xác nhận dạng giọng nói có thể giảm khoảng 10%. Chúng tôi dự kiến ​​sẽ khắc phục sự cố này vào tuần tới, nhưng nếu kéo dài, nó có thể ảnh hưởng đến tiến độ.</v>
      </c>
      <c r="C10" s="5"/>
      <c r="D10" s="5"/>
      <c r="E10" s="5"/>
      <c r="F10" s="5"/>
      <c r="G10" s="5"/>
      <c r="H10" s="5"/>
      <c r="I10" s="5"/>
      <c r="J10" s="5"/>
      <c r="K10" s="5"/>
      <c r="L10" s="5"/>
      <c r="M10" s="5"/>
      <c r="N10" s="5"/>
      <c r="O10" s="5"/>
      <c r="P10" s="5"/>
      <c r="Q10" s="5"/>
      <c r="R10" s="5"/>
      <c r="S10" s="5"/>
      <c r="T10" s="5"/>
      <c r="U10" s="5"/>
      <c r="V10" s="5"/>
      <c r="W10" s="5"/>
      <c r="X10" s="5"/>
      <c r="Y10" s="5"/>
      <c r="Z10" s="5"/>
    </row>
    <row r="11">
      <c r="A11" s="2" t="s">
        <v>66</v>
      </c>
      <c r="B11" s="5" t="str">
        <f>IFERROR(__xludf.DUMMYFUNCTION("GOOGLETRANSLATE(A11,""ja"",""vi"")"),"[00:05:20-00:05:50][Yamada] Rủi ro đó đã được theo dõi trước đó chưa?")</f>
        <v>[00:05:20-00:05:50][Yamada] Rủi ro đó đã được theo dõi trước đó chưa?</v>
      </c>
      <c r="C11" s="5"/>
      <c r="D11" s="5"/>
      <c r="E11" s="5"/>
      <c r="F11" s="5"/>
      <c r="G11" s="5"/>
      <c r="H11" s="5"/>
      <c r="I11" s="5"/>
      <c r="J11" s="5"/>
      <c r="K11" s="5"/>
      <c r="L11" s="5"/>
      <c r="M11" s="5"/>
      <c r="N11" s="5"/>
      <c r="O11" s="5"/>
      <c r="P11" s="5"/>
      <c r="Q11" s="5"/>
      <c r="R11" s="5"/>
      <c r="S11" s="5"/>
      <c r="T11" s="5"/>
      <c r="U11" s="5"/>
      <c r="V11" s="5"/>
      <c r="W11" s="5"/>
      <c r="X11" s="5"/>
      <c r="Y11" s="5"/>
      <c r="Z11" s="5"/>
    </row>
    <row r="12">
      <c r="A12" s="2" t="s">
        <v>67</v>
      </c>
      <c r="B12" s="5" t="str">
        <f>IFERROR(__xludf.DUMMYFUNCTION("GOOGLETRANSLATE(A12,""ja"",""vi"")"),"[00:05:50-00:06:35][Suzuki] Không, chúng tôi phát hiện ra điều này lần đầu tiên trong quá trình kiểm thử tích hợp này. Không có vấn đề gì trong các bài kiểm thử đơn vị riêng lẻ, nhưng nó lại xuất hiện khi chúng tôi kiểm thử trong môi trường thực tế. Nguyê"&amp;"n nhân là do vấn đề về thời gian xử lý đa luồng. Cách khắc phục khá rõ ràng, vì vậy chúng tôi có thể giải quyết trong vòng một tuần.")</f>
        <v>[00:05:50-00:06:35][Suzuki] Không, chúng tôi phát hiện ra điều này lần đầu tiên trong quá trình kiểm thử tích hợp này. Không có vấn đề gì trong các bài kiểm thử đơn vị riêng lẻ, nhưng nó lại xuất hiện khi chúng tôi kiểm thử trong môi trường thực tế. Nguyên nhân là do vấn đề về thời gian xử lý đa luồng. Cách khắc phục khá rõ ràng, vì vậy chúng tôi có thể giải quyết trong vòng một tuần.</v>
      </c>
      <c r="C12" s="5"/>
      <c r="D12" s="5"/>
      <c r="E12" s="5"/>
      <c r="F12" s="5"/>
      <c r="G12" s="5"/>
      <c r="H12" s="5"/>
      <c r="I12" s="5"/>
      <c r="J12" s="5"/>
      <c r="K12" s="5"/>
      <c r="L12" s="5"/>
      <c r="M12" s="5"/>
      <c r="N12" s="5"/>
      <c r="O12" s="5"/>
      <c r="P12" s="5"/>
      <c r="Q12" s="5"/>
      <c r="R12" s="5"/>
      <c r="S12" s="5"/>
      <c r="T12" s="5"/>
      <c r="U12" s="5"/>
      <c r="V12" s="5"/>
      <c r="W12" s="5"/>
      <c r="X12" s="5"/>
      <c r="Y12" s="5"/>
      <c r="Z12" s="5"/>
    </row>
    <row r="13">
      <c r="A13" s="2" t="s">
        <v>68</v>
      </c>
      <c r="B13" s="5" t="str">
        <f>IFERROR(__xludf.DUMMYFUNCTION("GOOGLETRANSLATE(A13,""ja"",""vi"")"),"[00:06:35-00:07:05][Tanaka] Đã hiểu. Chúng ta sẽ kiểm tra lại tình hình vào thứ Hai tới. Nếu không giải quyết được, có thể chúng ta cần xem xét điều chỉnh lịch phát hành.")</f>
        <v>[00:06:35-00:07:05][Tanaka] Đã hiểu. Chúng ta sẽ kiểm tra lại tình hình vào thứ Hai tới. Nếu không giải quyết được, có thể chúng ta cần xem xét điều chỉnh lịch phát hành.</v>
      </c>
      <c r="C13" s="5"/>
      <c r="D13" s="5"/>
      <c r="E13" s="5"/>
      <c r="F13" s="5"/>
      <c r="G13" s="5"/>
      <c r="H13" s="5"/>
      <c r="I13" s="5"/>
      <c r="J13" s="5"/>
      <c r="K13" s="5"/>
      <c r="L13" s="5"/>
      <c r="M13" s="5"/>
      <c r="N13" s="5"/>
      <c r="O13" s="5"/>
      <c r="P13" s="5"/>
      <c r="Q13" s="5"/>
      <c r="R13" s="5"/>
      <c r="S13" s="5"/>
      <c r="T13" s="5"/>
      <c r="U13" s="5"/>
      <c r="V13" s="5"/>
      <c r="W13" s="5"/>
      <c r="X13" s="5"/>
      <c r="Y13" s="5"/>
      <c r="Z13" s="5"/>
    </row>
    <row r="14">
      <c r="A14" s="2" t="s">
        <v>69</v>
      </c>
      <c r="B14" s="5" t="str">
        <f>IFERROR(__xludf.DUMMYFUNCTION("GOOGLETRANSLATE(A14,""ja"",""vi"")"),"[00:07:05-00:07:25][Suzuki] Vâng, chúng tôi sẽ giải quyết vấn đề này với ưu tiên hàng đầu.")</f>
        <v>[00:07:05-00:07:25][Suzuki] Vâng, chúng tôi sẽ giải quyết vấn đề này với ưu tiên hàng đầu.</v>
      </c>
      <c r="C14" s="5"/>
      <c r="D14" s="5"/>
      <c r="E14" s="5"/>
      <c r="F14" s="5"/>
      <c r="G14" s="5"/>
      <c r="H14" s="5"/>
      <c r="I14" s="5"/>
      <c r="J14" s="5"/>
      <c r="K14" s="5"/>
      <c r="L14" s="5"/>
      <c r="M14" s="5"/>
      <c r="N14" s="5"/>
      <c r="O14" s="5"/>
      <c r="P14" s="5"/>
      <c r="Q14" s="5"/>
      <c r="R14" s="5"/>
      <c r="S14" s="5"/>
      <c r="T14" s="5"/>
      <c r="U14" s="5"/>
      <c r="V14" s="5"/>
      <c r="W14" s="5"/>
      <c r="X14" s="5"/>
      <c r="Y14" s="5"/>
      <c r="Z14" s="5"/>
    </row>
    <row r="15">
      <c r="A15" s="2" t="s">
        <v>70</v>
      </c>
      <c r="B15" s="5" t="str">
        <f>IFERROR(__xludf.DUMMYFUNCTION("GOOGLETRANSLATE(A15,""ja"",""vi"")"),"[00:07:25-00:08:00][Tanaka] Còn thách thức nào khác liên quan đến phát triển không?")</f>
        <v>[00:07:25-00:08:00][Tanaka] Còn thách thức nào khác liên quan đến phát triển không?</v>
      </c>
      <c r="C15" s="5"/>
      <c r="D15" s="5"/>
      <c r="E15" s="5"/>
      <c r="F15" s="5"/>
      <c r="G15" s="5"/>
      <c r="H15" s="5"/>
      <c r="I15" s="5"/>
      <c r="J15" s="5"/>
      <c r="K15" s="5"/>
      <c r="L15" s="5"/>
      <c r="M15" s="5"/>
      <c r="N15" s="5"/>
      <c r="O15" s="5"/>
      <c r="P15" s="5"/>
      <c r="Q15" s="5"/>
      <c r="R15" s="5"/>
      <c r="S15" s="5"/>
      <c r="T15" s="5"/>
      <c r="U15" s="5"/>
      <c r="V15" s="5"/>
      <c r="W15" s="5"/>
      <c r="X15" s="5"/>
      <c r="Y15" s="5"/>
      <c r="Z15" s="5"/>
    </row>
    <row r="16">
      <c r="A16" s="2" t="s">
        <v>71</v>
      </c>
      <c r="B16" s="5" t="str">
        <f>IFERROR(__xludf.DUMMYFUNCTION("GOOGLETRANSLATE(A16,""ja"",""vi"")"),"[00:08:00-00:08:50][Suzuki] Thêm một điểm nữa, liên quan đến chi phí cơ sở hạ tầng. Việc sử dụng dịch vụ đám mây đã vượt quá dự toán ban đầu. Tháng này, chúng tôi đã chi tiêu vượt quá 120% ngân sách. Điều này là do lượng xử lý âm thanh trong môi trường th"&amp;"ử nghiệm cao hơn dự kiến. Chúng tôi sẽ tối ưu hóa và giảm chi phí bắt đầu từ tháng tới.")</f>
        <v>[00:08:00-00:08:50][Suzuki] Thêm một điểm nữa, liên quan đến chi phí cơ sở hạ tầng. Việc sử dụng dịch vụ đám mây đã vượt quá dự toán ban đầu. Tháng này, chúng tôi đã chi tiêu vượt quá 120% ngân sách. Điều này là do lượng xử lý âm thanh trong môi trường thử nghiệm cao hơn dự kiến. Chúng tôi sẽ tối ưu hóa và giảm chi phí bắt đầu từ tháng tới.</v>
      </c>
      <c r="C16" s="5"/>
      <c r="D16" s="5"/>
      <c r="E16" s="5"/>
      <c r="F16" s="5"/>
      <c r="G16" s="5"/>
      <c r="H16" s="5"/>
      <c r="I16" s="5"/>
      <c r="J16" s="5"/>
      <c r="K16" s="5"/>
      <c r="L16" s="5"/>
      <c r="M16" s="5"/>
      <c r="N16" s="5"/>
      <c r="O16" s="5"/>
      <c r="P16" s="5"/>
      <c r="Q16" s="5"/>
      <c r="R16" s="5"/>
      <c r="S16" s="5"/>
      <c r="T16" s="5"/>
      <c r="U16" s="5"/>
      <c r="V16" s="5"/>
      <c r="W16" s="5"/>
      <c r="X16" s="5"/>
      <c r="Y16" s="5"/>
      <c r="Z16" s="5"/>
    </row>
    <row r="17">
      <c r="A17" s="2" t="s">
        <v>72</v>
      </c>
      <c r="B17" s="5" t="str">
        <f>IFERROR(__xludf.DUMMYFUNCTION("GOOGLETRANSLATE(A17,""ja"",""vi"")"),"[00:08:50-00:09:15][Sato] Chúng ta sẽ thảo luận chi tiết hơn về điều đó sau trong phần ngân sách. Tôi có các số liệu ở đây.")</f>
        <v>[00:08:50-00:09:15][Sato] Chúng ta sẽ thảo luận chi tiết hơn về điều đó sau trong phần ngân sách. Tôi có các số liệu ở đây.</v>
      </c>
      <c r="C17" s="5"/>
      <c r="D17" s="5"/>
      <c r="E17" s="5"/>
      <c r="F17" s="5"/>
      <c r="G17" s="5"/>
      <c r="H17" s="5"/>
      <c r="I17" s="5"/>
      <c r="J17" s="5"/>
      <c r="K17" s="5"/>
      <c r="L17" s="5"/>
      <c r="M17" s="5"/>
      <c r="N17" s="5"/>
      <c r="O17" s="5"/>
      <c r="P17" s="5"/>
      <c r="Q17" s="5"/>
      <c r="R17" s="5"/>
      <c r="S17" s="5"/>
      <c r="T17" s="5"/>
      <c r="U17" s="5"/>
      <c r="V17" s="5"/>
      <c r="W17" s="5"/>
      <c r="X17" s="5"/>
      <c r="Y17" s="5"/>
      <c r="Z17" s="5"/>
    </row>
    <row r="18">
      <c r="A18" s="2" t="s">
        <v>73</v>
      </c>
      <c r="B18" s="5" t="str">
        <f>IFERROR(__xludf.DUMMYFUNCTION("GOOGLETRANSLATE(A18,""ja"",""vi"")"),"[00:09:15-00:09:45][Tanaka] Chúng ta làm vậy nhé. Suzuki, còn gì nữa không?")</f>
        <v>[00:09:15-00:09:45][Tanaka] Chúng ta làm vậy nhé. Suzuki, còn gì nữa không?</v>
      </c>
      <c r="C18" s="5"/>
      <c r="D18" s="5"/>
      <c r="E18" s="5"/>
      <c r="F18" s="5"/>
      <c r="G18" s="5"/>
      <c r="H18" s="5"/>
      <c r="I18" s="5"/>
      <c r="J18" s="5"/>
      <c r="K18" s="5"/>
      <c r="L18" s="5"/>
      <c r="M18" s="5"/>
      <c r="N18" s="5"/>
      <c r="O18" s="5"/>
      <c r="P18" s="5"/>
      <c r="Q18" s="5"/>
      <c r="R18" s="5"/>
      <c r="S18" s="5"/>
      <c r="T18" s="5"/>
      <c r="U18" s="5"/>
      <c r="V18" s="5"/>
      <c r="W18" s="5"/>
      <c r="X18" s="5"/>
      <c r="Y18" s="5"/>
      <c r="Z18" s="5"/>
    </row>
    <row r="19">
      <c r="A19" s="2" t="s">
        <v>74</v>
      </c>
      <c r="B19" s="5" t="str">
        <f>IFERROR(__xludf.DUMMYFUNCTION("GOOGLETRANSLATE(A19,""ja"",""vi"")"),"[00:09:45-00:10:10][Suzuki] Vậy là xong. Sau khi hoàn tất các bài kiểm tra, tôi sẽ chia sẻ báo cáo chất lượng vào tuần tới.")</f>
        <v>[00:09:45-00:10:10][Suzuki] Vậy là xong. Sau khi hoàn tất các bài kiểm tra, tôi sẽ chia sẻ báo cáo chất lượng vào tuần tới.</v>
      </c>
      <c r="C19" s="5"/>
      <c r="D19" s="5"/>
      <c r="E19" s="5"/>
      <c r="F19" s="5"/>
      <c r="G19" s="5"/>
      <c r="H19" s="5"/>
      <c r="I19" s="5"/>
      <c r="J19" s="5"/>
      <c r="K19" s="5"/>
      <c r="L19" s="5"/>
      <c r="M19" s="5"/>
      <c r="N19" s="5"/>
      <c r="O19" s="5"/>
      <c r="P19" s="5"/>
      <c r="Q19" s="5"/>
      <c r="R19" s="5"/>
      <c r="S19" s="5"/>
      <c r="T19" s="5"/>
      <c r="U19" s="5"/>
      <c r="V19" s="5"/>
      <c r="W19" s="5"/>
      <c r="X19" s="5"/>
      <c r="Y19" s="5"/>
      <c r="Z19" s="5"/>
    </row>
    <row r="20">
      <c r="A20" s="2" t="s">
        <v>75</v>
      </c>
      <c r="B20" s="5" t="str">
        <f>IFERROR(__xludf.DUMMYFUNCTION("GOOGLETRANSLATE(A20,""ja"",""vi"")"),"[00:10:10-00:10:30][Tanaka] Cảm ơn. Giờ chúng ta hãy chuyển sang phần ngân sách. Mời ông Sato.")</f>
        <v>[00:10:10-00:10:30][Tanaka] Cảm ơn. Giờ chúng ta hãy chuyển sang phần ngân sách. Mời ông Sato.</v>
      </c>
      <c r="C20" s="5"/>
      <c r="D20" s="5"/>
      <c r="E20" s="5"/>
      <c r="F20" s="5"/>
      <c r="G20" s="5"/>
      <c r="H20" s="5"/>
      <c r="I20" s="5"/>
      <c r="J20" s="5"/>
      <c r="K20" s="5"/>
      <c r="L20" s="5"/>
      <c r="M20" s="5"/>
      <c r="N20" s="5"/>
      <c r="O20" s="5"/>
      <c r="P20" s="5"/>
      <c r="Q20" s="5"/>
      <c r="R20" s="5"/>
      <c r="S20" s="5"/>
      <c r="T20" s="5"/>
      <c r="U20" s="5"/>
      <c r="V20" s="5"/>
      <c r="W20" s="5"/>
      <c r="X20" s="5"/>
      <c r="Y20" s="5"/>
      <c r="Z20" s="5"/>
    </row>
    <row r="21">
      <c r="A21" s="2" t="s">
        <v>76</v>
      </c>
      <c r="B21" s="5" t="str">
        <f>IFERROR(__xludf.DUMMYFUNCTION("GOOGLETRANSLATE(A21,""ja"",""vi"")"),"[00:10:30-00:11:30][Sato] Vâng. Tôi sẽ báo cáo về tình hình ngân sách quý 2. Tổng ngân sách quý này là 150 triệu yên, nhưng tình trạng chi tiêu hiện tại đã đạt khoảng 78%. Số tiền còn lại cần được chi tiêu trong ba tháng tới, nhưng với tốc độ này, dự kiến"&amp;" ​​sẽ có sự vượt ngân sách nhẹ. Đặc biệt, chi phí của bộ phận phát triển đang có xu hướng tăng.")</f>
        <v>[00:10:30-00:11:30][Sato] Vâng. Tôi sẽ báo cáo về tình hình ngân sách quý 2. Tổng ngân sách quý này là 150 triệu yên, nhưng tình trạng chi tiêu hiện tại đã đạt khoảng 78%. Số tiền còn lại cần được chi tiêu trong ba tháng tới, nhưng với tốc độ này, dự kiến ​​sẽ có sự vượt ngân sách nhẹ. Đặc biệt, chi phí của bộ phận phát triển đang có xu hướng tăng.</v>
      </c>
      <c r="C21" s="5"/>
      <c r="D21" s="5"/>
      <c r="E21" s="5"/>
      <c r="F21" s="5"/>
      <c r="G21" s="5"/>
      <c r="H21" s="5"/>
      <c r="I21" s="5"/>
      <c r="J21" s="5"/>
      <c r="K21" s="5"/>
      <c r="L21" s="5"/>
      <c r="M21" s="5"/>
      <c r="N21" s="5"/>
      <c r="O21" s="5"/>
      <c r="P21" s="5"/>
      <c r="Q21" s="5"/>
      <c r="R21" s="5"/>
      <c r="S21" s="5"/>
      <c r="T21" s="5"/>
      <c r="U21" s="5"/>
      <c r="V21" s="5"/>
      <c r="W21" s="5"/>
      <c r="X21" s="5"/>
      <c r="Y21" s="5"/>
      <c r="Z21" s="5"/>
    </row>
    <row r="22">
      <c r="A22" s="2" t="s">
        <v>77</v>
      </c>
      <c r="B22" s="5" t="str">
        <f>IFERROR(__xludf.DUMMYFUNCTION("GOOGLETRANSLATE(A22,""ja"",""vi"")"),"[00:11:30-00:12:00][Suzuki] Đó là về vấn đề chi phí điện toán đám mây mà chúng ta đã nói đến trước đó.")</f>
        <v>[00:11:30-00:12:00][Suzuki] Đó là về vấn đề chi phí điện toán đám mây mà chúng ta đã nói đến trước đó.</v>
      </c>
      <c r="C22" s="5"/>
      <c r="D22" s="5"/>
      <c r="E22" s="5"/>
      <c r="F22" s="5"/>
      <c r="G22" s="5"/>
      <c r="H22" s="5"/>
      <c r="I22" s="5"/>
      <c r="J22" s="5"/>
      <c r="K22" s="5"/>
      <c r="L22" s="5"/>
      <c r="M22" s="5"/>
      <c r="N22" s="5"/>
      <c r="O22" s="5"/>
      <c r="P22" s="5"/>
      <c r="Q22" s="5"/>
      <c r="R22" s="5"/>
      <c r="S22" s="5"/>
      <c r="T22" s="5"/>
      <c r="U22" s="5"/>
      <c r="V22" s="5"/>
      <c r="W22" s="5"/>
      <c r="X22" s="5"/>
      <c r="Y22" s="5"/>
      <c r="Z22" s="5"/>
    </row>
    <row r="23">
      <c r="A23" s="2" t="s">
        <v>78</v>
      </c>
      <c r="B23" s="5" t="str">
        <f>IFERROR(__xludf.DUMMYFUNCTION("GOOGLETRANSLATE(A23,""ja"",""vi"")"),"[00:12:00-00:12:50][Sato] Đúng vậy. Cụ thể, phí sử dụng điện toán đám mây hàng tháng của chúng ta đang vượt ngân sách khoảng 1,2 triệu yên. Nếu cứ tiếp tục như thế này, tổng số tiền vượt ngân sách sẽ lên tới 3,6 triệu yên vào cuối quý. Thêm vào đó, chi ph"&amp;"í cho các nhân viên hợp đồng mà chúng ta đã thuê cũng đang làm tăng ngân sách.")</f>
        <v>[00:12:00-00:12:50][Sato] Đúng vậy. Cụ thể, phí sử dụng điện toán đám mây hàng tháng của chúng ta đang vượt ngân sách khoảng 1,2 triệu yên. Nếu cứ tiếp tục như thế này, tổng số tiền vượt ngân sách sẽ lên tới 3,6 triệu yên vào cuối quý. Thêm vào đó, chi phí cho các nhân viên hợp đồng mà chúng ta đã thuê cũng đang làm tăng ngân sách.</v>
      </c>
      <c r="C23" s="5"/>
      <c r="D23" s="5"/>
      <c r="E23" s="5"/>
      <c r="F23" s="5"/>
      <c r="G23" s="5"/>
      <c r="H23" s="5"/>
      <c r="I23" s="5"/>
      <c r="J23" s="5"/>
      <c r="K23" s="5"/>
      <c r="L23" s="5"/>
      <c r="M23" s="5"/>
      <c r="N23" s="5"/>
      <c r="O23" s="5"/>
      <c r="P23" s="5"/>
      <c r="Q23" s="5"/>
      <c r="R23" s="5"/>
      <c r="S23" s="5"/>
      <c r="T23" s="5"/>
      <c r="U23" s="5"/>
      <c r="V23" s="5"/>
      <c r="W23" s="5"/>
      <c r="X23" s="5"/>
      <c r="Y23" s="5"/>
      <c r="Z23" s="5"/>
    </row>
    <row r="24">
      <c r="A24" s="2" t="s">
        <v>79</v>
      </c>
      <c r="B24" s="5" t="str">
        <f>IFERROR(__xludf.DUMMYFUNCTION("GOOGLETRANSLATE(A24,""ja"",""vi"")"),"[00:12:50-00:13:20][Tanaka] 3,6 triệu yên là một số tiền khá lớn. Có biện pháp đối phó nào không?")</f>
        <v>[00:12:50-00:13:20][Tanaka] 3,6 triệu yên là một số tiền khá lớn. Có biện pháp đối phó nào không?</v>
      </c>
      <c r="C24" s="5"/>
      <c r="D24" s="5"/>
      <c r="E24" s="5"/>
      <c r="F24" s="5"/>
      <c r="G24" s="5"/>
      <c r="H24" s="5"/>
      <c r="I24" s="5"/>
      <c r="J24" s="5"/>
      <c r="K24" s="5"/>
      <c r="L24" s="5"/>
      <c r="M24" s="5"/>
      <c r="N24" s="5"/>
      <c r="O24" s="5"/>
      <c r="P24" s="5"/>
      <c r="Q24" s="5"/>
      <c r="R24" s="5"/>
      <c r="S24" s="5"/>
      <c r="T24" s="5"/>
      <c r="U24" s="5"/>
      <c r="V24" s="5"/>
      <c r="W24" s="5"/>
      <c r="X24" s="5"/>
      <c r="Y24" s="5"/>
      <c r="Z24" s="5"/>
    </row>
    <row r="25">
      <c r="A25" s="2" t="s">
        <v>80</v>
      </c>
      <c r="B25" s="5" t="str">
        <f>IFERROR(__xludf.DUMMYFUNCTION("GOOGLETRANSLATE(A25,""ja"",""vi"")"),"[00:13:20-00:14:10][Sato] Tôi đề xuất hai biện pháp. Thứ nhất là tối ưu hóa tài nguyên đám mây. Bằng cách loại bỏ các tài nguyên hiện không được sử dụng, chúng tôi kỳ vọng sẽ giảm chi phí khoảng 500.000 yên mỗi tháng. Thứ hai là tạm thời ngừng tuyển dụng "&amp;"bắt đầu từ tháng tới. Điều này sẽ cho phép chúng tôi giảm chi phí khoảng 300.000 yên mỗi tháng. Tổng cộng, chúng tôi đặt mục tiêu giảm chi phí 800.000 yên mỗi tháng.")</f>
        <v>[00:13:20-00:14:10][Sato] Tôi đề xuất hai biện pháp. Thứ nhất là tối ưu hóa tài nguyên đám mây. Bằng cách loại bỏ các tài nguyên hiện không được sử dụng, chúng tôi kỳ vọng sẽ giảm chi phí khoảng 500.000 yên mỗi tháng. Thứ hai là tạm thời ngừng tuyển dụng bắt đầu từ tháng tới. Điều này sẽ cho phép chúng tôi giảm chi phí khoảng 300.000 yên mỗi tháng. Tổng cộng, chúng tôi đặt mục tiêu giảm chi phí 800.000 yên mỗi tháng.</v>
      </c>
      <c r="C25" s="5"/>
      <c r="D25" s="5"/>
      <c r="E25" s="5"/>
      <c r="F25" s="5"/>
      <c r="G25" s="5"/>
      <c r="H25" s="5"/>
      <c r="I25" s="5"/>
      <c r="J25" s="5"/>
      <c r="K25" s="5"/>
      <c r="L25" s="5"/>
      <c r="M25" s="5"/>
      <c r="N25" s="5"/>
      <c r="O25" s="5"/>
      <c r="P25" s="5"/>
      <c r="Q25" s="5"/>
      <c r="R25" s="5"/>
      <c r="S25" s="5"/>
      <c r="T25" s="5"/>
      <c r="U25" s="5"/>
      <c r="V25" s="5"/>
      <c r="W25" s="5"/>
      <c r="X25" s="5"/>
      <c r="Y25" s="5"/>
      <c r="Z25" s="5"/>
    </row>
    <row r="26">
      <c r="A26" s="2" t="s">
        <v>81</v>
      </c>
      <c r="B26" s="5" t="str">
        <f>IFERROR(__xludf.DUMMYFUNCTION("GOOGLETRANSLATE(A26,""ja"",""vi"")"),"[00:14:10-00:14:40][Yamada] Việc đóng băng tuyển dụng có ảnh hưởng đến kế hoạch kinh doanh không? Điều gì sẽ xảy ra với các dự án tuyển dụng đang diễn ra?")</f>
        <v>[00:14:10-00:14:40][Yamada] Việc đóng băng tuyển dụng có ảnh hưởng đến kế hoạch kinh doanh không? Điều gì sẽ xảy ra với các dự án tuyển dụng đang diễn ra?</v>
      </c>
      <c r="C26" s="5"/>
      <c r="D26" s="5"/>
      <c r="E26" s="5"/>
      <c r="F26" s="5"/>
      <c r="G26" s="5"/>
      <c r="H26" s="5"/>
      <c r="I26" s="5"/>
      <c r="J26" s="5"/>
      <c r="K26" s="5"/>
      <c r="L26" s="5"/>
      <c r="M26" s="5"/>
      <c r="N26" s="5"/>
      <c r="O26" s="5"/>
      <c r="P26" s="5"/>
      <c r="Q26" s="5"/>
      <c r="R26" s="5"/>
      <c r="S26" s="5"/>
      <c r="T26" s="5"/>
      <c r="U26" s="5"/>
      <c r="V26" s="5"/>
      <c r="W26" s="5"/>
      <c r="X26" s="5"/>
      <c r="Y26" s="5"/>
      <c r="Z26" s="5"/>
    </row>
    <row r="27">
      <c r="A27" s="2" t="s">
        <v>82</v>
      </c>
      <c r="B27" s="5" t="str">
        <f>IFERROR(__xludf.DUMMYFUNCTION("GOOGLETRANSLATE(A27,""ja"",""vi"")"),"[00:14:40-00:15:20][Sato] Chúng tôi sẽ tuyển dụng hai ứng viên đã vượt qua vòng phỏng vấn cuối cùng theo kế hoạch. Điều này có nghĩa là các đợt tuyển dụng tiếp theo sẽ bị hoãn lại một tháng. Tác động đến hoạt động kinh doanh của chúng tôi sẽ được giảm thi"&amp;"ểu tối đa.")</f>
        <v>[00:14:40-00:15:20][Sato] Chúng tôi sẽ tuyển dụng hai ứng viên đã vượt qua vòng phỏng vấn cuối cùng theo kế hoạch. Điều này có nghĩa là các đợt tuyển dụng tiếp theo sẽ bị hoãn lại một tháng. Tác động đến hoạt động kinh doanh của chúng tôi sẽ được giảm thiểu tối đa.</v>
      </c>
      <c r="C27" s="5"/>
      <c r="D27" s="5"/>
      <c r="E27" s="5"/>
      <c r="F27" s="5"/>
      <c r="G27" s="5"/>
      <c r="H27" s="5"/>
      <c r="I27" s="5"/>
      <c r="J27" s="5"/>
      <c r="K27" s="5"/>
      <c r="L27" s="5"/>
      <c r="M27" s="5"/>
      <c r="N27" s="5"/>
      <c r="O27" s="5"/>
      <c r="P27" s="5"/>
      <c r="Q27" s="5"/>
      <c r="R27" s="5"/>
      <c r="S27" s="5"/>
      <c r="T27" s="5"/>
      <c r="U27" s="5"/>
      <c r="V27" s="5"/>
      <c r="W27" s="5"/>
      <c r="X27" s="5"/>
      <c r="Y27" s="5"/>
      <c r="Z27" s="5"/>
    </row>
    <row r="28">
      <c r="A28" s="2" t="s">
        <v>83</v>
      </c>
      <c r="B28" s="5" t="str">
        <f>IFERROR(__xludf.DUMMYFUNCTION("GOOGLETRANSLATE(A28,""ja"",""vi"")"),"[00:15:20-00:15:50][Yamada] Đã hiểu. Vậy thì tôi nghĩ không có vấn đề gì.")</f>
        <v>[00:15:20-00:15:50][Yamada] Đã hiểu. Vậy thì tôi nghĩ không có vấn đề gì.</v>
      </c>
      <c r="C28" s="5"/>
      <c r="D28" s="5"/>
      <c r="E28" s="5"/>
      <c r="F28" s="5"/>
      <c r="G28" s="5"/>
      <c r="H28" s="5"/>
      <c r="I28" s="5"/>
      <c r="J28" s="5"/>
      <c r="K28" s="5"/>
      <c r="L28" s="5"/>
      <c r="M28" s="5"/>
      <c r="N28" s="5"/>
      <c r="O28" s="5"/>
      <c r="P28" s="5"/>
      <c r="Q28" s="5"/>
      <c r="R28" s="5"/>
      <c r="S28" s="5"/>
      <c r="T28" s="5"/>
      <c r="U28" s="5"/>
      <c r="V28" s="5"/>
      <c r="W28" s="5"/>
      <c r="X28" s="5"/>
      <c r="Y28" s="5"/>
      <c r="Z28" s="5"/>
    </row>
    <row r="29">
      <c r="A29" s="2" t="s">
        <v>84</v>
      </c>
      <c r="B29" s="5" t="str">
        <f>IFERROR(__xludf.DUMMYFUNCTION("GOOGLETRANSLATE(A29,""ja"",""vi"")"),"[00:15:50-00:16:30][Tanaka] Đã hiểu. Chúng ta hãy tiếp tục theo hướng đó. Chúng ta sẽ xem xét lại ngân sách vào cuối tháng tới. Sato, anh có thể chuẩn bị một báo cáo phân tích ngân sách chi tiết cho cuộc họp ngày 28 tháng tới được không?")</f>
        <v>[00:15:50-00:16:30][Tanaka] Đã hiểu. Chúng ta hãy tiếp tục theo hướng đó. Chúng ta sẽ xem xét lại ngân sách vào cuối tháng tới. Sato, anh có thể chuẩn bị một báo cáo phân tích ngân sách chi tiết cho cuộc họp ngày 28 tháng tới được không?</v>
      </c>
      <c r="C29" s="5"/>
      <c r="D29" s="5"/>
      <c r="E29" s="5"/>
      <c r="F29" s="5"/>
      <c r="G29" s="5"/>
      <c r="H29" s="5"/>
      <c r="I29" s="5"/>
      <c r="J29" s="5"/>
      <c r="K29" s="5"/>
      <c r="L29" s="5"/>
      <c r="M29" s="5"/>
      <c r="N29" s="5"/>
      <c r="O29" s="5"/>
      <c r="P29" s="5"/>
      <c r="Q29" s="5"/>
      <c r="R29" s="5"/>
      <c r="S29" s="5"/>
      <c r="T29" s="5"/>
      <c r="U29" s="5"/>
      <c r="V29" s="5"/>
      <c r="W29" s="5"/>
      <c r="X29" s="5"/>
      <c r="Y29" s="5"/>
      <c r="Z29" s="5"/>
    </row>
    <row r="30">
      <c r="A30" s="2" t="s">
        <v>85</v>
      </c>
      <c r="B30" s="5" t="str">
        <f>IFERROR(__xludf.DUMMYFUNCTION("GOOGLETRANSLATE(A30,""ja"",""vi"")"),"[00:16:30-00:16:55][Sato] Vâng, hiểu rồi. Tôi sẽ chuẩn bị.")</f>
        <v>[00:16:30-00:16:55][Sato] Vâng, hiểu rồi. Tôi sẽ chuẩn bị.</v>
      </c>
      <c r="C30" s="5"/>
      <c r="D30" s="5"/>
      <c r="E30" s="5"/>
      <c r="F30" s="5"/>
      <c r="G30" s="5"/>
      <c r="H30" s="5"/>
      <c r="I30" s="5"/>
      <c r="J30" s="5"/>
      <c r="K30" s="5"/>
      <c r="L30" s="5"/>
      <c r="M30" s="5"/>
      <c r="N30" s="5"/>
      <c r="O30" s="5"/>
      <c r="P30" s="5"/>
      <c r="Q30" s="5"/>
      <c r="R30" s="5"/>
      <c r="S30" s="5"/>
      <c r="T30" s="5"/>
      <c r="U30" s="5"/>
      <c r="V30" s="5"/>
      <c r="W30" s="5"/>
      <c r="X30" s="5"/>
      <c r="Y30" s="5"/>
      <c r="Z30" s="5"/>
    </row>
    <row r="31">
      <c r="A31" s="2" t="s">
        <v>86</v>
      </c>
      <c r="B31" s="5" t="str">
        <f>IFERROR(__xludf.DUMMYFUNCTION("GOOGLETRANSLATE(A31,""ja"",""vi"")"),"[00:16:55-00:17:35][Tanaka] Chỉ còn một điều nữa cần xác nhận. Hạn chót nộp đơn xin ngân sách quý 3 là khi nào?")</f>
        <v>[00:16:55-00:17:35][Tanaka] Chỉ còn một điều nữa cần xác nhận. Hạn chót nộp đơn xin ngân sách quý 3 là khi nào?</v>
      </c>
      <c r="C31" s="5"/>
      <c r="D31" s="5"/>
      <c r="E31" s="5"/>
      <c r="F31" s="5"/>
      <c r="G31" s="5"/>
      <c r="H31" s="5"/>
      <c r="I31" s="5"/>
      <c r="J31" s="5"/>
      <c r="K31" s="5"/>
      <c r="L31" s="5"/>
      <c r="M31" s="5"/>
      <c r="N31" s="5"/>
      <c r="O31" s="5"/>
      <c r="P31" s="5"/>
      <c r="Q31" s="5"/>
      <c r="R31" s="5"/>
      <c r="S31" s="5"/>
      <c r="T31" s="5"/>
      <c r="U31" s="5"/>
      <c r="V31" s="5"/>
      <c r="W31" s="5"/>
      <c r="X31" s="5"/>
      <c r="Y31" s="5"/>
      <c r="Z31" s="5"/>
    </row>
    <row r="32">
      <c r="A32" s="2" t="s">
        <v>87</v>
      </c>
      <c r="B32" s="5" t="str">
        <f>IFERROR(__xludf.DUMMYFUNCTION("GOOGLETRANSLATE(A32,""ja"",""vi"")"),"[00:17:35-00:18:05][Sato] Hạn chót nộp đơn xin tài trợ lên trụ sở chính là ngày 15 tháng 6. Chúng ta cần nhận được yêu cầu ngân sách từ mỗi phòng ban vào tuần tới.")</f>
        <v>[00:17:35-00:18:05][Sato] Hạn chót nộp đơn xin tài trợ lên trụ sở chính là ngày 15 tháng 6. Chúng ta cần nhận được yêu cầu ngân sách từ mỗi phòng ban vào tuần tới.</v>
      </c>
      <c r="C32" s="5"/>
      <c r="D32" s="5"/>
      <c r="E32" s="5"/>
      <c r="F32" s="5"/>
      <c r="G32" s="5"/>
      <c r="H32" s="5"/>
      <c r="I32" s="5"/>
      <c r="J32" s="5"/>
      <c r="K32" s="5"/>
      <c r="L32" s="5"/>
      <c r="M32" s="5"/>
      <c r="N32" s="5"/>
      <c r="O32" s="5"/>
      <c r="P32" s="5"/>
      <c r="Q32" s="5"/>
      <c r="R32" s="5"/>
      <c r="S32" s="5"/>
      <c r="T32" s="5"/>
      <c r="U32" s="5"/>
      <c r="V32" s="5"/>
      <c r="W32" s="5"/>
      <c r="X32" s="5"/>
      <c r="Y32" s="5"/>
      <c r="Z32" s="5"/>
    </row>
    <row r="33">
      <c r="A33" s="2" t="s">
        <v>88</v>
      </c>
      <c r="B33" s="5" t="str">
        <f>IFERROR(__xludf.DUMMYFUNCTION("GOOGLETRANSLATE(A33,""ja"",""vi"")"),"[00:18:05-00:18:20][Tanaka] Đã hiểu. Tôi sẽ gửi thông báo nhắc nhở đến từng trưởng phòng ban trước cuối ngày hôm nay. Thảo luận về ngân sách đến đây là kết thúc, chúng ta hãy chuyển sang chủ đề tiếp theo: phản hồi của chúng ta về chính sách năng lượng.")</f>
        <v>[00:18:05-00:18:20][Tanaka] Đã hiểu. Tôi sẽ gửi thông báo nhắc nhở đến từng trưởng phòng ban trước cuối ngày hôm nay. Thảo luận về ngân sách đến đây là kết thúc, chúng ta hãy chuyển sang chủ đề tiếp theo: phản hồi của chúng ta về chính sách năng lượng.</v>
      </c>
      <c r="C33" s="5"/>
      <c r="D33" s="5"/>
      <c r="E33" s="5"/>
      <c r="F33" s="5"/>
      <c r="G33" s="5"/>
      <c r="H33" s="5"/>
      <c r="I33" s="5"/>
      <c r="J33" s="5"/>
      <c r="K33" s="5"/>
      <c r="L33" s="5"/>
      <c r="M33" s="5"/>
      <c r="N33" s="5"/>
      <c r="O33" s="5"/>
      <c r="P33" s="5"/>
      <c r="Q33" s="5"/>
      <c r="R33" s="5"/>
      <c r="S33" s="5"/>
      <c r="T33" s="5"/>
      <c r="U33" s="5"/>
      <c r="V33" s="5"/>
      <c r="W33" s="5"/>
      <c r="X33" s="5"/>
      <c r="Y33" s="5"/>
      <c r="Z33" s="5"/>
    </row>
    <row r="34">
      <c r="A34" s="2" t="s">
        <v>89</v>
      </c>
      <c r="B34" s="5" t="str">
        <f>IFERROR(__xludf.DUMMYFUNCTION("GOOGLETRANSLATE(A34,""ja"",""vi"")"),"[00:18:20-00:19:15][Yamada] Vâng. Tôi sẽ giải thích về chính sách năng lượng mới được chính phủ công bố tháng trước. Bắt đầu từ tháng 4 năm sau, các công ty có từ 50 nhân viên trở lên sẽ phải báo cáo mức tiêu thụ năng lượng của mình. Ngoài ra, chính sách "&amp;"này khuyến khích các công ty tăng dần việc sử dụng năng lượng tái tạo.")</f>
        <v>[00:18:20-00:19:15][Yamada] Vâng. Tôi sẽ giải thích về chính sách năng lượng mới được chính phủ công bố tháng trước. Bắt đầu từ tháng 4 năm sau, các công ty có từ 50 nhân viên trở lên sẽ phải báo cáo mức tiêu thụ năng lượng của mình. Ngoài ra, chính sách này khuyến khích các công ty tăng dần việc sử dụng năng lượng tái tạo.</v>
      </c>
      <c r="C34" s="5"/>
      <c r="D34" s="5"/>
      <c r="E34" s="5"/>
      <c r="F34" s="5"/>
      <c r="G34" s="5"/>
      <c r="H34" s="5"/>
      <c r="I34" s="5"/>
      <c r="J34" s="5"/>
      <c r="K34" s="5"/>
      <c r="L34" s="5"/>
      <c r="M34" s="5"/>
      <c r="N34" s="5"/>
      <c r="O34" s="5"/>
      <c r="P34" s="5"/>
      <c r="Q34" s="5"/>
      <c r="R34" s="5"/>
      <c r="S34" s="5"/>
      <c r="T34" s="5"/>
      <c r="U34" s="5"/>
      <c r="V34" s="5"/>
      <c r="W34" s="5"/>
      <c r="X34" s="5"/>
      <c r="Y34" s="5"/>
      <c r="Z34" s="5"/>
    </row>
    <row r="35">
      <c r="A35" s="2" t="s">
        <v>90</v>
      </c>
      <c r="B35" s="5" t="str">
        <f>IFERROR(__xludf.DUMMYFUNCTION("GOOGLETRANSLATE(A35,""ja"",""vi"")"),"[00:19:15-00:20:00][Tanaka] Điều đó cũng sẽ ảnh hưởng trực tiếp đến hoạt động kinh doanh của chúng ta. Cần thực hiện những hành động cụ thể nào?")</f>
        <v>[00:19:15-00:20:00][Tanaka] Điều đó cũng sẽ ảnh hưởng trực tiếp đến hoạt động kinh doanh của chúng ta. Cần thực hiện những hành động cụ thể nào?</v>
      </c>
      <c r="C35" s="5"/>
      <c r="D35" s="5"/>
      <c r="E35" s="5"/>
      <c r="F35" s="5"/>
      <c r="G35" s="5"/>
      <c r="H35" s="5"/>
      <c r="I35" s="5"/>
      <c r="J35" s="5"/>
      <c r="K35" s="5"/>
      <c r="L35" s="5"/>
      <c r="M35" s="5"/>
      <c r="N35" s="5"/>
      <c r="O35" s="5"/>
      <c r="P35" s="5"/>
      <c r="Q35" s="5"/>
      <c r="R35" s="5"/>
      <c r="S35" s="5"/>
      <c r="T35" s="5"/>
      <c r="U35" s="5"/>
      <c r="V35" s="5"/>
      <c r="W35" s="5"/>
      <c r="X35" s="5"/>
      <c r="Y35" s="5"/>
      <c r="Z35" s="5"/>
    </row>
    <row r="36">
      <c r="A36" s="2" t="s">
        <v>91</v>
      </c>
      <c r="B36" s="5" t="str">
        <f>IFERROR(__xludf.DUMMYFUNCTION("GOOGLETRANSLATE(A36,""ja"",""vi"")"),"[00:20:00-00:20:50][Yamada] Có ba điểm chính. Thứ nhất, chúng ta cần giới thiệu hệ thống đo lường mức tiêu thụ năng lượng. Hiện tại, chúng ta chưa nắm rõ chính xác mức tiêu thụ điện năng ở mỗi tầng, vì vậy cần bắt đầu từ đó. Thứ hai, chúng ta cần xem xét "&amp;"việc lắp đặt các tấm pin mặt trời trong văn phòng. Sẽ có một khoản đầu tư ban đầu, nhưng về lâu dài sẽ giúp giảm chi phí điện năng.")</f>
        <v>[00:20:00-00:20:50][Yamada] Có ba điểm chính. Thứ nhất, chúng ta cần giới thiệu hệ thống đo lường mức tiêu thụ năng lượng. Hiện tại, chúng ta chưa nắm rõ chính xác mức tiêu thụ điện năng ở mỗi tầng, vì vậy cần bắt đầu từ đó. Thứ hai, chúng ta cần xem xét việc lắp đặt các tấm pin mặt trời trong văn phòng. Sẽ có một khoản đầu tư ban đầu, nhưng về lâu dài sẽ giúp giảm chi phí điện năng.</v>
      </c>
      <c r="C36" s="5"/>
      <c r="D36" s="5"/>
      <c r="E36" s="5"/>
      <c r="F36" s="5"/>
      <c r="G36" s="5"/>
      <c r="H36" s="5"/>
      <c r="I36" s="5"/>
      <c r="J36" s="5"/>
      <c r="K36" s="5"/>
      <c r="L36" s="5"/>
      <c r="M36" s="5"/>
      <c r="N36" s="5"/>
      <c r="O36" s="5"/>
      <c r="P36" s="5"/>
      <c r="Q36" s="5"/>
      <c r="R36" s="5"/>
      <c r="S36" s="5"/>
      <c r="T36" s="5"/>
      <c r="U36" s="5"/>
      <c r="V36" s="5"/>
      <c r="W36" s="5"/>
      <c r="X36" s="5"/>
      <c r="Y36" s="5"/>
      <c r="Z36" s="5"/>
    </row>
    <row r="37">
      <c r="A37" s="2" t="s">
        <v>92</v>
      </c>
      <c r="B37" s="5" t="str">
        <f>IFERROR(__xludf.DUMMYFUNCTION("GOOGLETRANSLATE(A37,""ja"",""vi"")"),"[00:20:50-00:21:20][Sato] Anh/Chị dự kiến ​​chi phí lắp đặt tấm pin mặt trời sẽ như thế nào?")</f>
        <v>[00:20:50-00:21:20][Sato] Anh/Chị dự kiến ​​chi phí lắp đặt tấm pin mặt trời sẽ như thế nào?</v>
      </c>
      <c r="C37" s="5"/>
      <c r="D37" s="5"/>
      <c r="E37" s="5"/>
      <c r="F37" s="5"/>
      <c r="G37" s="5"/>
      <c r="H37" s="5"/>
      <c r="I37" s="5"/>
      <c r="J37" s="5"/>
      <c r="K37" s="5"/>
      <c r="L37" s="5"/>
      <c r="M37" s="5"/>
      <c r="N37" s="5"/>
      <c r="O37" s="5"/>
      <c r="P37" s="5"/>
      <c r="Q37" s="5"/>
      <c r="R37" s="5"/>
      <c r="S37" s="5"/>
      <c r="T37" s="5"/>
      <c r="U37" s="5"/>
      <c r="V37" s="5"/>
      <c r="W37" s="5"/>
      <c r="X37" s="5"/>
      <c r="Y37" s="5"/>
      <c r="Z37" s="5"/>
    </row>
    <row r="38">
      <c r="A38" s="2" t="s">
        <v>93</v>
      </c>
      <c r="B38" s="5" t="str">
        <f>IFERROR(__xludf.DUMMYFUNCTION("GOOGLETRANSLATE(A38,""ja"",""vi"")"),"[00:21:20-00:22:10][Yamada] Hiện tại chúng tôi đang lấy báo giá từ ba công ty. Nói chung, chi phí ban đầu sẽ dao động từ 8 triệu đến 12 triệu yên. Tuy nhiên, nếu chúng tôi tận dụng chương trình trợ cấp của chính phủ, gánh nặng thực tế dự kiến ​​sẽ chỉ bằn"&amp;"g khoảng một nửa. Chúng tôi dự đoán thời gian hoàn vốn đầu tư là từ 7 đến 10 năm.")</f>
        <v>[00:21:20-00:22:10][Yamada] Hiện tại chúng tôi đang lấy báo giá từ ba công ty. Nói chung, chi phí ban đầu sẽ dao động từ 8 triệu đến 12 triệu yên. Tuy nhiên, nếu chúng tôi tận dụng chương trình trợ cấp của chính phủ, gánh nặng thực tế dự kiến ​​sẽ chỉ bằng khoảng một nửa. Chúng tôi dự đoán thời gian hoàn vốn đầu tư là từ 7 đến 10 năm.</v>
      </c>
      <c r="C38" s="5"/>
      <c r="D38" s="5"/>
      <c r="E38" s="5"/>
      <c r="F38" s="5"/>
      <c r="G38" s="5"/>
      <c r="H38" s="5"/>
      <c r="I38" s="5"/>
      <c r="J38" s="5"/>
      <c r="K38" s="5"/>
      <c r="L38" s="5"/>
      <c r="M38" s="5"/>
      <c r="N38" s="5"/>
      <c r="O38" s="5"/>
      <c r="P38" s="5"/>
      <c r="Q38" s="5"/>
      <c r="R38" s="5"/>
      <c r="S38" s="5"/>
      <c r="T38" s="5"/>
      <c r="U38" s="5"/>
      <c r="V38" s="5"/>
      <c r="W38" s="5"/>
      <c r="X38" s="5"/>
      <c r="Y38" s="5"/>
      <c r="Z38" s="5"/>
    </row>
    <row r="39">
      <c r="A39" s="2" t="s">
        <v>94</v>
      </c>
      <c r="B39" s="5" t="str">
        <f>IFERROR(__xludf.DUMMYFUNCTION("GOOGLETRANSLATE(A39,""ja"",""vi"")"),"[00:22:10-00:22:55][Suzuki] Chúng ta có nên xem xét việc cải thiện hiệu quả năng lượng của phòng máy chủ không? Các máy chủ hiện tại là các mẫu cũ và tiêu thụ rất nhiều điện năng. Bằng cách nâng cấp lên các máy chủ mới nhất, chúng ta có thể giảm mức tiêu "&amp;"thụ điện năng xuống 30%.")</f>
        <v>[00:22:10-00:22:55][Suzuki] Chúng ta có nên xem xét việc cải thiện hiệu quả năng lượng của phòng máy chủ không? Các máy chủ hiện tại là các mẫu cũ và tiêu thụ rất nhiều điện năng. Bằng cách nâng cấp lên các máy chủ mới nhất, chúng ta có thể giảm mức tiêu thụ điện năng xuống 30%.</v>
      </c>
      <c r="C39" s="5"/>
      <c r="D39" s="5"/>
      <c r="E39" s="5"/>
      <c r="F39" s="5"/>
      <c r="G39" s="5"/>
      <c r="H39" s="5"/>
      <c r="I39" s="5"/>
      <c r="J39" s="5"/>
      <c r="K39" s="5"/>
      <c r="L39" s="5"/>
      <c r="M39" s="5"/>
      <c r="N39" s="5"/>
      <c r="O39" s="5"/>
      <c r="P39" s="5"/>
      <c r="Q39" s="5"/>
      <c r="R39" s="5"/>
      <c r="S39" s="5"/>
      <c r="T39" s="5"/>
      <c r="U39" s="5"/>
      <c r="V39" s="5"/>
      <c r="W39" s="5"/>
      <c r="X39" s="5"/>
      <c r="Y39" s="5"/>
      <c r="Z39" s="5"/>
    </row>
    <row r="40">
      <c r="A40" s="2" t="s">
        <v>95</v>
      </c>
      <c r="B40" s="5" t="str">
        <f>IFERROR(__xludf.DUMMYFUNCTION("GOOGLETRANSLATE(A40,""ja"",""vi"")"),"[00:22:55-00:23:25][Tanaka] Đó là một điểm hay. Chúng ta hãy xem xét cả việc lắp đặt tấm pin mặt trời và nâng cấp máy chủ cùng nhau như một phần của chiến lược năng lượng của chúng ta.")</f>
        <v>[00:22:55-00:23:25][Tanaka] Đó là một điểm hay. Chúng ta hãy xem xét cả việc lắp đặt tấm pin mặt trời và nâng cấp máy chủ cùng nhau như một phần của chiến lược năng lượng của chúng ta.</v>
      </c>
      <c r="C40" s="5"/>
      <c r="D40" s="5"/>
      <c r="E40" s="5"/>
      <c r="F40" s="5"/>
      <c r="G40" s="5"/>
      <c r="H40" s="5"/>
      <c r="I40" s="5"/>
      <c r="J40" s="5"/>
      <c r="K40" s="5"/>
      <c r="L40" s="5"/>
      <c r="M40" s="5"/>
      <c r="N40" s="5"/>
      <c r="O40" s="5"/>
      <c r="P40" s="5"/>
      <c r="Q40" s="5"/>
      <c r="R40" s="5"/>
      <c r="S40" s="5"/>
      <c r="T40" s="5"/>
      <c r="U40" s="5"/>
      <c r="V40" s="5"/>
      <c r="W40" s="5"/>
      <c r="X40" s="5"/>
      <c r="Y40" s="5"/>
      <c r="Z40" s="5"/>
    </row>
    <row r="41">
      <c r="A41" s="2" t="s">
        <v>96</v>
      </c>
      <c r="B41" s="5" t="str">
        <f>IFERROR(__xludf.DUMMYFUNCTION("GOOGLETRANSLATE(A41,""ja"",""vi"")"),"[00:23:25-00:24:10][Yamada] Thứ ba, chúng tôi muốn triển khai một chương trình đào tạo nhằm nâng cao nhận thức về tiết kiệm năng lượng cho nhân viên. Thay đổi hành vi là biện pháp hiệu quả nhất về mặt chi phí. Chúng tôi đang lên kế hoạch cho các hoạt động"&amp;" kiểm tra tiết kiệm năng lượng hàng tháng và các chiến dịch tiết kiệm năng lượng.")</f>
        <v>[00:23:25-00:24:10][Yamada] Thứ ba, chúng tôi muốn triển khai một chương trình đào tạo nhằm nâng cao nhận thức về tiết kiệm năng lượng cho nhân viên. Thay đổi hành vi là biện pháp hiệu quả nhất về mặt chi phí. Chúng tôi đang lên kế hoạch cho các hoạt động kiểm tra tiết kiệm năng lượng hàng tháng và các chiến dịch tiết kiệm năng lượng.</v>
      </c>
      <c r="C41" s="5"/>
      <c r="D41" s="5"/>
      <c r="E41" s="5"/>
      <c r="F41" s="5"/>
      <c r="G41" s="5"/>
      <c r="H41" s="5"/>
      <c r="I41" s="5"/>
      <c r="J41" s="5"/>
      <c r="K41" s="5"/>
      <c r="L41" s="5"/>
      <c r="M41" s="5"/>
      <c r="N41" s="5"/>
      <c r="O41" s="5"/>
      <c r="P41" s="5"/>
      <c r="Q41" s="5"/>
      <c r="R41" s="5"/>
      <c r="S41" s="5"/>
      <c r="T41" s="5"/>
      <c r="U41" s="5"/>
      <c r="V41" s="5"/>
      <c r="W41" s="5"/>
      <c r="X41" s="5"/>
      <c r="Y41" s="5"/>
      <c r="Z41" s="5"/>
    </row>
    <row r="42">
      <c r="A42" s="2" t="s">
        <v>97</v>
      </c>
      <c r="B42" s="5" t="str">
        <f>IFERROR(__xludf.DUMMYFUNCTION("GOOGLETRANSLATE(A42,""ja"",""vi"")"),"[00:24:10-00:24:40][Tanaka] Đã hiểu. Giải quyết vấn đề chính sách năng lượng là một vấn đề quan trọng. Yamada, vui lòng chuẩn bị một kế hoạch thực hiện chi tiết trước cuối tháng tới.")</f>
        <v>[00:24:10-00:24:40][Tanaka] Đã hiểu. Giải quyết vấn đề chính sách năng lượng là một vấn đề quan trọng. Yamada, vui lòng chuẩn bị một kế hoạch thực hiện chi tiết trước cuối tháng tới.</v>
      </c>
      <c r="C42" s="5"/>
      <c r="D42" s="5"/>
      <c r="E42" s="5"/>
      <c r="F42" s="5"/>
      <c r="G42" s="5"/>
      <c r="H42" s="5"/>
      <c r="I42" s="5"/>
      <c r="J42" s="5"/>
      <c r="K42" s="5"/>
      <c r="L42" s="5"/>
      <c r="M42" s="5"/>
      <c r="N42" s="5"/>
      <c r="O42" s="5"/>
      <c r="P42" s="5"/>
      <c r="Q42" s="5"/>
      <c r="R42" s="5"/>
      <c r="S42" s="5"/>
      <c r="T42" s="5"/>
      <c r="U42" s="5"/>
      <c r="V42" s="5"/>
      <c r="W42" s="5"/>
      <c r="X42" s="5"/>
      <c r="Y42" s="5"/>
      <c r="Z42" s="5"/>
    </row>
    <row r="43">
      <c r="A43" s="2" t="s">
        <v>98</v>
      </c>
      <c r="B43" s="5" t="str">
        <f>IFERROR(__xludf.DUMMYFUNCTION("GOOGLETRANSLATE(A43,""ja"",""vi"")"),"[00:24:40-00:25:10][Yamada] Đã hiểu. Tôi sẽ lập kế hoạch bao gồm lịch trình nộp đơn xin tài trợ.")</f>
        <v>[00:24:40-00:25:10][Yamada] Đã hiểu. Tôi sẽ lập kế hoạch bao gồm lịch trình nộp đơn xin tài trợ.</v>
      </c>
      <c r="C43" s="5"/>
      <c r="D43" s="5"/>
      <c r="E43" s="5"/>
      <c r="F43" s="5"/>
      <c r="G43" s="5"/>
      <c r="H43" s="5"/>
      <c r="I43" s="5"/>
      <c r="J43" s="5"/>
      <c r="K43" s="5"/>
      <c r="L43" s="5"/>
      <c r="M43" s="5"/>
      <c r="N43" s="5"/>
      <c r="O43" s="5"/>
      <c r="P43" s="5"/>
      <c r="Q43" s="5"/>
      <c r="R43" s="5"/>
      <c r="S43" s="5"/>
      <c r="T43" s="5"/>
      <c r="U43" s="5"/>
      <c r="V43" s="5"/>
      <c r="W43" s="5"/>
      <c r="X43" s="5"/>
      <c r="Y43" s="5"/>
      <c r="Z43" s="5"/>
    </row>
    <row r="44">
      <c r="A44" s="2" t="s">
        <v>99</v>
      </c>
      <c r="B44" s="5" t="str">
        <f>IFERROR(__xludf.DUMMYFUNCTION("GOOGLETRANSLATE(A44,""ja"",""vi"")"),"[00:25:10-00:25:30][Tanaka] Cảm ơn. Cuối cùng, chúng ta hãy kiểm tra các mục cần thực hiện.")</f>
        <v>[00:25:10-00:25:30][Tanaka] Cảm ơn. Cuối cùng, chúng ta hãy kiểm tra các mục cần thực hiện.</v>
      </c>
      <c r="C44" s="5"/>
      <c r="D44" s="5"/>
      <c r="E44" s="5"/>
      <c r="F44" s="5"/>
      <c r="G44" s="5"/>
      <c r="H44" s="5"/>
      <c r="I44" s="5"/>
      <c r="J44" s="5"/>
      <c r="K44" s="5"/>
      <c r="L44" s="5"/>
      <c r="M44" s="5"/>
      <c r="N44" s="5"/>
      <c r="O44" s="5"/>
      <c r="P44" s="5"/>
      <c r="Q44" s="5"/>
      <c r="R44" s="5"/>
      <c r="S44" s="5"/>
      <c r="T44" s="5"/>
      <c r="U44" s="5"/>
      <c r="V44" s="5"/>
      <c r="W44" s="5"/>
      <c r="X44" s="5"/>
      <c r="Y44" s="5"/>
      <c r="Z44" s="5"/>
    </row>
    <row r="45">
      <c r="A45" s="2" t="s">
        <v>100</v>
      </c>
      <c r="B45" s="5" t="str">
        <f>IFERROR(__xludf.DUMMYFUNCTION("GOOGLETRANSLATE(A45,""ja"",""vi"")"),"[00:25:30-00:26:20][Tanaka] Đây là bản tóm tắt các mục hành động mà chúng tôi đã xác nhận hôm nay. Đầu tiên, Suzuki-san, vui lòng hoàn thành việc sửa lỗi khử tiếng ồn vào tuần tới. Vui lòng báo cáo tình trạng trên Slack vào thứ Hai tới.")</f>
        <v>[00:25:30-00:26:20][Tanaka] Đây là bản tóm tắt các mục hành động mà chúng tôi đã xác nhận hôm nay. Đầu tiên, Suzuki-san, vui lòng hoàn thành việc sửa lỗi khử tiếng ồn vào tuần tới. Vui lòng báo cáo tình trạng trên Slack vào thứ Hai tới.</v>
      </c>
      <c r="C45" s="5"/>
      <c r="D45" s="5"/>
      <c r="E45" s="5"/>
      <c r="F45" s="5"/>
      <c r="G45" s="5"/>
      <c r="H45" s="5"/>
      <c r="I45" s="5"/>
      <c r="J45" s="5"/>
      <c r="K45" s="5"/>
      <c r="L45" s="5"/>
      <c r="M45" s="5"/>
      <c r="N45" s="5"/>
      <c r="O45" s="5"/>
      <c r="P45" s="5"/>
      <c r="Q45" s="5"/>
      <c r="R45" s="5"/>
      <c r="S45" s="5"/>
      <c r="T45" s="5"/>
      <c r="U45" s="5"/>
      <c r="V45" s="5"/>
      <c r="W45" s="5"/>
      <c r="X45" s="5"/>
      <c r="Y45" s="5"/>
      <c r="Z45" s="5"/>
    </row>
    <row r="46">
      <c r="A46" s="2" t="s">
        <v>101</v>
      </c>
      <c r="B46" s="5" t="str">
        <f>IFERROR(__xludf.DUMMYFUNCTION("GOOGLETRANSLATE(A46,""ja"",""vi"")"),"[00:26:20-00:26:35][Suzuki] Vâng, đã hiểu.")</f>
        <v>[00:26:20-00:26:35][Suzuki] Vâng, đã hiểu.</v>
      </c>
      <c r="C46" s="5"/>
      <c r="D46" s="5"/>
      <c r="E46" s="5"/>
      <c r="F46" s="5"/>
      <c r="G46" s="5"/>
      <c r="H46" s="5"/>
      <c r="I46" s="5"/>
      <c r="J46" s="5"/>
      <c r="K46" s="5"/>
      <c r="L46" s="5"/>
      <c r="M46" s="5"/>
      <c r="N46" s="5"/>
      <c r="O46" s="5"/>
      <c r="P46" s="5"/>
      <c r="Q46" s="5"/>
      <c r="R46" s="5"/>
      <c r="S46" s="5"/>
      <c r="T46" s="5"/>
      <c r="U46" s="5"/>
      <c r="V46" s="5"/>
      <c r="W46" s="5"/>
      <c r="X46" s="5"/>
      <c r="Y46" s="5"/>
      <c r="Z46" s="5"/>
    </row>
    <row r="47">
      <c r="A47" s="2" t="s">
        <v>102</v>
      </c>
      <c r="B47" s="5" t="str">
        <f>IFERROR(__xludf.DUMMYFUNCTION("GOOGLETRANSLATE(A47,""ja"",""vi"")"),"[00:26:35-00:27:20][Tanaka] Thứ hai, thưa ông Sato, vui lòng bắt đầu tối ưu hóa tài nguyên đám mây và giảm chi phí vào cuối tháng này. Đồng thời, vui lòng chuẩn bị báo cáo phân tích ngân sách cho cuộc họp ngày 28 tháng tới.")</f>
        <v>[00:26:35-00:27:20][Tanaka] Thứ hai, thưa ông Sato, vui lòng bắt đầu tối ưu hóa tài nguyên đám mây và giảm chi phí vào cuối tháng này. Đồng thời, vui lòng chuẩn bị báo cáo phân tích ngân sách cho cuộc họp ngày 28 tháng tới.</v>
      </c>
      <c r="C47" s="5"/>
      <c r="D47" s="5"/>
      <c r="E47" s="5"/>
      <c r="F47" s="5"/>
      <c r="G47" s="5"/>
      <c r="H47" s="5"/>
      <c r="I47" s="5"/>
      <c r="J47" s="5"/>
      <c r="K47" s="5"/>
      <c r="L47" s="5"/>
      <c r="M47" s="5"/>
      <c r="N47" s="5"/>
      <c r="O47" s="5"/>
      <c r="P47" s="5"/>
      <c r="Q47" s="5"/>
      <c r="R47" s="5"/>
      <c r="S47" s="5"/>
      <c r="T47" s="5"/>
      <c r="U47" s="5"/>
      <c r="V47" s="5"/>
      <c r="W47" s="5"/>
      <c r="X47" s="5"/>
      <c r="Y47" s="5"/>
      <c r="Z47" s="5"/>
    </row>
    <row r="48">
      <c r="A48" s="2" t="s">
        <v>103</v>
      </c>
      <c r="B48" s="5" t="str">
        <f>IFERROR(__xludf.DUMMYFUNCTION("GOOGLETRANSLATE(A48,""ja"",""vi"")"),"[00:27:20-00:27:40][Sato] Đã hiểu.")</f>
        <v>[00:27:20-00:27:40][Sato] Đã hiểu.</v>
      </c>
      <c r="C48" s="5"/>
      <c r="D48" s="5"/>
      <c r="E48" s="5"/>
      <c r="F48" s="5"/>
      <c r="G48" s="5"/>
      <c r="H48" s="5"/>
      <c r="I48" s="5"/>
      <c r="J48" s="5"/>
      <c r="K48" s="5"/>
      <c r="L48" s="5"/>
      <c r="M48" s="5"/>
      <c r="N48" s="5"/>
      <c r="O48" s="5"/>
      <c r="P48" s="5"/>
      <c r="Q48" s="5"/>
      <c r="R48" s="5"/>
      <c r="S48" s="5"/>
      <c r="T48" s="5"/>
      <c r="U48" s="5"/>
      <c r="V48" s="5"/>
      <c r="W48" s="5"/>
      <c r="X48" s="5"/>
      <c r="Y48" s="5"/>
      <c r="Z48" s="5"/>
    </row>
    <row r="49">
      <c r="A49" s="2" t="s">
        <v>104</v>
      </c>
      <c r="B49" s="5" t="str">
        <f>IFERROR(__xludf.DUMMYFUNCTION("GOOGLETRANSLATE(A49,""ja"",""vi"")"),"[00:27:40-00:28:20][Tanaka] Thứ ba, Yamada, hãy trình yêu cầu ngân sách cho quý 3 trong tuần này. Đồng thời, hãy chuẩn bị kế hoạch thực hiện chính sách năng lượng trước cuối tháng tới.")</f>
        <v>[00:27:40-00:28:20][Tanaka] Thứ ba, Yamada, hãy trình yêu cầu ngân sách cho quý 3 trong tuần này. Đồng thời, hãy chuẩn bị kế hoạch thực hiện chính sách năng lượng trước cuối tháng tới.</v>
      </c>
      <c r="C49" s="5"/>
      <c r="D49" s="5"/>
      <c r="E49" s="5"/>
      <c r="F49" s="5"/>
      <c r="G49" s="5"/>
      <c r="H49" s="5"/>
      <c r="I49" s="5"/>
      <c r="J49" s="5"/>
      <c r="K49" s="5"/>
      <c r="L49" s="5"/>
      <c r="M49" s="5"/>
      <c r="N49" s="5"/>
      <c r="O49" s="5"/>
      <c r="P49" s="5"/>
      <c r="Q49" s="5"/>
      <c r="R49" s="5"/>
      <c r="S49" s="5"/>
      <c r="T49" s="5"/>
      <c r="U49" s="5"/>
      <c r="V49" s="5"/>
      <c r="W49" s="5"/>
      <c r="X49" s="5"/>
      <c r="Y49" s="5"/>
      <c r="Z49" s="5"/>
    </row>
    <row r="50">
      <c r="A50" s="2" t="s">
        <v>105</v>
      </c>
      <c r="B50" s="5" t="str">
        <f>IFERROR(__xludf.DUMMYFUNCTION("GOOGLETRANSLATE(A50,""ja"",""vi"")"),"[00:28:20-00:28:35][Yamada] Vâng, đã hiểu.")</f>
        <v>[00:28:20-00:28:35][Yamada] Vâng, đã hiểu.</v>
      </c>
      <c r="C50" s="5"/>
      <c r="D50" s="5"/>
      <c r="E50" s="5"/>
      <c r="F50" s="5"/>
      <c r="G50" s="5"/>
      <c r="H50" s="5"/>
      <c r="I50" s="5"/>
      <c r="J50" s="5"/>
      <c r="K50" s="5"/>
      <c r="L50" s="5"/>
      <c r="M50" s="5"/>
      <c r="N50" s="5"/>
      <c r="O50" s="5"/>
      <c r="P50" s="5"/>
      <c r="Q50" s="5"/>
      <c r="R50" s="5"/>
      <c r="S50" s="5"/>
      <c r="T50" s="5"/>
      <c r="U50" s="5"/>
      <c r="V50" s="5"/>
      <c r="W50" s="5"/>
      <c r="X50" s="5"/>
      <c r="Y50" s="5"/>
      <c r="Z50" s="5"/>
    </row>
    <row r="51">
      <c r="A51" s="2" t="s">
        <v>106</v>
      </c>
      <c r="B51" s="5" t="str">
        <f>IFERROR(__xludf.DUMMYFUNCTION("GOOGLETRANSLATE(A51,""ja"",""vi"")"),"[00:28:35-00:29:10][Tanaka] Thứ tư, hôm nay tôi sẽ gửi thư nhắc nhở đến từng trưởng phòng về việc xin ngân sách quý 3. Tôi sẽ theo dõi tiến độ hợp đồng với Công ty A trong tuần này.")</f>
        <v>[00:28:35-00:29:10][Tanaka] Thứ tư, hôm nay tôi sẽ gửi thư nhắc nhở đến từng trưởng phòng về việc xin ngân sách quý 3. Tôi sẽ theo dõi tiến độ hợp đồng với Công ty A trong tuần này.</v>
      </c>
      <c r="C51" s="5"/>
      <c r="D51" s="5"/>
      <c r="E51" s="5"/>
      <c r="F51" s="5"/>
      <c r="G51" s="5"/>
      <c r="H51" s="5"/>
      <c r="I51" s="5"/>
      <c r="J51" s="5"/>
      <c r="K51" s="5"/>
      <c r="L51" s="5"/>
      <c r="M51" s="5"/>
      <c r="N51" s="5"/>
      <c r="O51" s="5"/>
      <c r="P51" s="5"/>
      <c r="Q51" s="5"/>
      <c r="R51" s="5"/>
      <c r="S51" s="5"/>
      <c r="T51" s="5"/>
      <c r="U51" s="5"/>
      <c r="V51" s="5"/>
      <c r="W51" s="5"/>
      <c r="X51" s="5"/>
      <c r="Y51" s="5"/>
      <c r="Z51" s="5"/>
    </row>
    <row r="52">
      <c r="A52" s="2" t="s">
        <v>107</v>
      </c>
      <c r="B52" s="5" t="str">
        <f>IFERROR(__xludf.DUMMYFUNCTION("GOOGLETRANSLATE(A52,""ja"",""vi"")"),"[00:29:10-00:29:40][Suzuki] Tanaka-san, chúng ta có thể báo cáo tình hình vào thứ Hai tới qua Slack được không, hay chúng ta nên lên lịch một cuộc họp?")</f>
        <v>[00:29:10-00:29:40][Suzuki] Tanaka-san, chúng ta có thể báo cáo tình hình vào thứ Hai tới qua Slack được không, hay chúng ta nên lên lịch một cuộc họp?</v>
      </c>
      <c r="C52" s="5"/>
      <c r="D52" s="5"/>
      <c r="E52" s="5"/>
      <c r="F52" s="5"/>
      <c r="G52" s="5"/>
      <c r="H52" s="5"/>
      <c r="I52" s="5"/>
      <c r="J52" s="5"/>
      <c r="K52" s="5"/>
      <c r="L52" s="5"/>
      <c r="M52" s="5"/>
      <c r="N52" s="5"/>
      <c r="O52" s="5"/>
      <c r="P52" s="5"/>
      <c r="Q52" s="5"/>
      <c r="R52" s="5"/>
      <c r="S52" s="5"/>
      <c r="T52" s="5"/>
      <c r="U52" s="5"/>
      <c r="V52" s="5"/>
      <c r="W52" s="5"/>
      <c r="X52" s="5"/>
      <c r="Y52" s="5"/>
      <c r="Z52" s="5"/>
    </row>
    <row r="53">
      <c r="A53" s="2" t="s">
        <v>108</v>
      </c>
      <c r="B53" s="5" t="str">
        <f>IFERROR(__xludf.DUMMYFUNCTION("GOOGLETRANSLATE(A53,""ja"",""vi"")"),"[00:29:40-00:30:05][Tanaka] Trước tiên, mọi người hãy cùng chia sẻ tình hình ngắn gọn qua Slack, và nếu có vấn đề gì, chúng ta sẽ lên lịch một cuộc họp.")</f>
        <v>[00:29:40-00:30:05][Tanaka] Trước tiên, mọi người hãy cùng chia sẻ tình hình ngắn gọn qua Slack, và nếu có vấn đề gì, chúng ta sẽ lên lịch một cuộc họp.</v>
      </c>
      <c r="C53" s="5"/>
      <c r="D53" s="5"/>
      <c r="E53" s="5"/>
      <c r="F53" s="5"/>
      <c r="G53" s="5"/>
      <c r="H53" s="5"/>
      <c r="I53" s="5"/>
      <c r="J53" s="5"/>
      <c r="K53" s="5"/>
      <c r="L53" s="5"/>
      <c r="M53" s="5"/>
      <c r="N53" s="5"/>
      <c r="O53" s="5"/>
      <c r="P53" s="5"/>
      <c r="Q53" s="5"/>
      <c r="R53" s="5"/>
      <c r="S53" s="5"/>
      <c r="T53" s="5"/>
      <c r="U53" s="5"/>
      <c r="V53" s="5"/>
      <c r="W53" s="5"/>
      <c r="X53" s="5"/>
      <c r="Y53" s="5"/>
      <c r="Z53" s="5"/>
    </row>
    <row r="54">
      <c r="A54" s="2" t="s">
        <v>109</v>
      </c>
      <c r="B54" s="5" t="str">
        <f>IFERROR(__xludf.DUMMYFUNCTION("GOOGLETRANSLATE(A54,""ja"",""vi"")"),"[00:30:05-00:30:20][Suzuki] Đã hiểu.")</f>
        <v>[00:30:05-00:30:20][Suzuki] Đã hiểu.</v>
      </c>
      <c r="C54" s="5"/>
      <c r="D54" s="5"/>
      <c r="E54" s="5"/>
      <c r="F54" s="5"/>
      <c r="G54" s="5"/>
      <c r="H54" s="5"/>
      <c r="I54" s="5"/>
      <c r="J54" s="5"/>
      <c r="K54" s="5"/>
      <c r="L54" s="5"/>
      <c r="M54" s="5"/>
      <c r="N54" s="5"/>
      <c r="O54" s="5"/>
      <c r="P54" s="5"/>
      <c r="Q54" s="5"/>
      <c r="R54" s="5"/>
      <c r="S54" s="5"/>
      <c r="T54" s="5"/>
      <c r="U54" s="5"/>
      <c r="V54" s="5"/>
      <c r="W54" s="5"/>
      <c r="X54" s="5"/>
      <c r="Y54" s="5"/>
      <c r="Z54" s="5"/>
    </row>
    <row r="55">
      <c r="A55" s="2" t="s">
        <v>110</v>
      </c>
      <c r="B55" s="5" t="str">
        <f>IFERROR(__xludf.DUMMYFUNCTION("GOOGLETRANSLATE(A55,""ja"",""vi"")"),"[00:30:20-00:30:30][Tanaka] Buổi họp hôm nay kết thúc tại đây. Cảm ơn tất cả mọi người đã nỗ lực hết mình. Buổi họp thường kỳ tiếp theo sẽ diễn ra vào thứ Tư tuần sau, cùng giờ.")</f>
        <v>[00:30:20-00:30:30][Tanaka] Buổi họp hôm nay kết thúc tại đây. Cảm ơn tất cả mọi người đã nỗ lực hết mình. Buổi họp thường kỳ tiếp theo sẽ diễn ra vào thứ Tư tuần sau, cùng giờ.</v>
      </c>
      <c r="C55" s="5"/>
      <c r="D55" s="5"/>
      <c r="E55" s="5"/>
      <c r="F55" s="5"/>
      <c r="G55" s="5"/>
      <c r="H55" s="5"/>
      <c r="I55" s="5"/>
      <c r="J55" s="5"/>
      <c r="K55" s="5"/>
      <c r="L55" s="5"/>
      <c r="M55" s="5"/>
      <c r="N55" s="5"/>
      <c r="O55" s="5"/>
      <c r="P55" s="5"/>
      <c r="Q55" s="5"/>
      <c r="R55" s="5"/>
      <c r="S55" s="5"/>
      <c r="T55" s="5"/>
      <c r="U55" s="5"/>
      <c r="V55" s="5"/>
      <c r="W55" s="5"/>
      <c r="X55" s="5"/>
      <c r="Y55" s="5"/>
      <c r="Z55" s="5"/>
    </row>
    <row r="56">
      <c r="A56" s="2" t="s">
        <v>111</v>
      </c>
      <c r="B56" s="5" t="str">
        <f>IFERROR(__xludf.DUMMYFUNCTION("GOOGLETRANSLATE(A56,""ja"",""vi"")"),"[00:30:30-00:30:40][Suzuki] Cảm ơn bạn vì sự nỗ lực.")</f>
        <v>[00:30:30-00:30:40][Suzuki] Cảm ơn bạn vì sự nỗ lực.</v>
      </c>
      <c r="C56" s="5"/>
      <c r="D56" s="5"/>
      <c r="E56" s="5"/>
      <c r="F56" s="5"/>
      <c r="G56" s="5"/>
      <c r="H56" s="5"/>
      <c r="I56" s="5"/>
      <c r="J56" s="5"/>
      <c r="K56" s="5"/>
      <c r="L56" s="5"/>
      <c r="M56" s="5"/>
      <c r="N56" s="5"/>
      <c r="O56" s="5"/>
      <c r="P56" s="5"/>
      <c r="Q56" s="5"/>
      <c r="R56" s="5"/>
      <c r="S56" s="5"/>
      <c r="T56" s="5"/>
      <c r="U56" s="5"/>
      <c r="V56" s="5"/>
      <c r="W56" s="5"/>
      <c r="X56" s="5"/>
      <c r="Y56" s="5"/>
      <c r="Z56" s="5"/>
    </row>
    <row r="57">
      <c r="A57" s="2" t="s">
        <v>112</v>
      </c>
      <c r="B57" s="5" t="str">
        <f>IFERROR(__xludf.DUMMYFUNCTION("GOOGLETRANSLATE(A57,""ja"",""vi"")"),"[00:30:40-00:30:50][Sato] Cảm ơn vì sự nỗ lực của bạn.")</f>
        <v>[00:30:40-00:30:50][Sato] Cảm ơn vì sự nỗ lực của bạn.</v>
      </c>
      <c r="C57" s="5"/>
      <c r="D57" s="5"/>
      <c r="E57" s="5"/>
      <c r="F57" s="5"/>
      <c r="G57" s="5"/>
      <c r="H57" s="5"/>
      <c r="I57" s="5"/>
      <c r="J57" s="5"/>
      <c r="K57" s="5"/>
      <c r="L57" s="5"/>
      <c r="M57" s="5"/>
      <c r="N57" s="5"/>
      <c r="O57" s="5"/>
      <c r="P57" s="5"/>
      <c r="Q57" s="5"/>
      <c r="R57" s="5"/>
      <c r="S57" s="5"/>
      <c r="T57" s="5"/>
      <c r="U57" s="5"/>
      <c r="V57" s="5"/>
      <c r="W57" s="5"/>
      <c r="X57" s="5"/>
      <c r="Y57" s="5"/>
      <c r="Z57" s="5"/>
    </row>
    <row r="58">
      <c r="A58" s="2" t="s">
        <v>113</v>
      </c>
      <c r="B58" s="5" t="str">
        <f>IFERROR(__xludf.DUMMYFUNCTION("GOOGLETRANSLATE(A58,""ja"",""vi"")"),"[00:30:50-00:31:00][Yamada] Cảm ơn vì sự nỗ lực của bạn.")</f>
        <v>[00:30:50-00:31:00][Yamada] Cảm ơn vì sự nỗ lực của bạn.</v>
      </c>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4.38"/>
    <col customWidth="1" min="2" max="2" width="62.88"/>
  </cols>
  <sheetData>
    <row r="1">
      <c r="A1" s="2" t="s">
        <v>114</v>
      </c>
      <c r="B1" s="5" t="str">
        <f>IFERROR(__xludf.DUMMYFUNCTION("GOOGLETRANSLATE(A1,""ja"",""vi"")"),"[00:00:08-00:00:45][Tanaka] Thưa quý vị, chúng ta hãy bắt đầu cuộc họp đánh giá doanh số quý 1 hôm nay. Hôm nay chúng ta sẽ thảo luận ba chủ đề: đánh giá hiệu quả bán hàng quý 1, xác nhận chiến lược tiếp thị quý 2 và bàn bạc kế hoạch tuyển dụng cho nửa cu"&amp;"ối năm. Bắt đầu nào.")</f>
        <v>[00:00:08-00:00:45][Tanaka] Thưa quý vị, chúng ta hãy bắt đầu cuộc họp đánh giá doanh số quý 1 hôm nay. Hôm nay chúng ta sẽ thảo luận ba chủ đề: đánh giá hiệu quả bán hàng quý 1, xác nhận chiến lược tiếp thị quý 2 và bàn bạc kế hoạch tuyển dụng cho nửa cuối năm. Bắt đầu nào.</v>
      </c>
    </row>
    <row r="2">
      <c r="A2" s="2" t="s">
        <v>115</v>
      </c>
      <c r="B2" s="5" t="str">
        <f>IFERROR(__xludf.DUMMYFUNCTION("GOOGLETRANSLATE(A2,""ja"",""vi"")"),"[00:00:45-00:01:00][Ito] Cảm ơn trước.")</f>
        <v>[00:00:45-00:01:00][Ito] Cảm ơn trước.</v>
      </c>
    </row>
    <row r="3">
      <c r="A3" s="2" t="s">
        <v>116</v>
      </c>
      <c r="B3" s="5" t="str">
        <f>IFERROR(__xludf.DUMMYFUNCTION("GOOGLETRANSLATE(A3,""ja"",""vi"")"),"[00:01:00-00:01:15][Nakamura] Cảm ơn trước.")</f>
        <v>[00:01:00-00:01:15][Nakamura] Cảm ơn trước.</v>
      </c>
    </row>
    <row r="4">
      <c r="A4" s="2" t="s">
        <v>117</v>
      </c>
      <c r="B4" s="5" t="str">
        <f>IFERROR(__xludf.DUMMYFUNCTION("GOOGLETRANSLATE(A4,""ja"",""vi"")"),"[00:01:15-00:01:30][Kobayashi] Cảm ơn rất nhiều.")</f>
        <v>[00:01:15-00:01:30][Kobayashi] Cảm ơn rất nhiều.</v>
      </c>
    </row>
    <row r="5">
      <c r="A5" s="2" t="s">
        <v>118</v>
      </c>
      <c r="B5" s="5" t="str">
        <f>IFERROR(__xludf.DUMMYFUNCTION("GOOGLETRANSLATE(A5,""ja"",""vi"")"),"[00:01:30-00:02:15][Tanaka] Trước tiên, tôi muốn chia sẻ các số liệu tổng quan. Tổng doanh thu quý 1 đạt 420 triệu yên, tăng 12% so với cùng kỳ năm ngoái. Tỷ lệ hoàn thành mục tiêu của chúng tôi là 108%, tỷ lệ hoàn thành mục tiêu hàng quý cao nhất mà chún"&amp;"g tôi từng ghi nhận. Đây là những kết quả tuyệt vời.")</f>
        <v>[00:01:30-00:02:15][Tanaka] Trước tiên, tôi muốn chia sẻ các số liệu tổng quan. Tổng doanh thu quý 1 đạt 420 triệu yên, tăng 12% so với cùng kỳ năm ngoái. Tỷ lệ hoàn thành mục tiêu của chúng tôi là 108%, tỷ lệ hoàn thành mục tiêu hàng quý cao nhất mà chúng tôi từng ghi nhận. Đây là những kết quả tuyệt vời.</v>
      </c>
    </row>
    <row r="6">
      <c r="A6" s="2" t="s">
        <v>119</v>
      </c>
      <c r="B6" s="5" t="str">
        <f>IFERROR(__xludf.DUMMYFUNCTION("GOOGLETRANSLATE(A6,""ja"",""vi"")"),"[00:02:15-00:02:40][Ito] Cảm ơn rất nhiều. Toàn bộ đội ngũ bán hàng đã làm rất tốt.")</f>
        <v>[00:02:15-00:02:40][Ito] Cảm ơn rất nhiều. Toàn bộ đội ngũ bán hàng đã làm rất tốt.</v>
      </c>
    </row>
    <row r="7">
      <c r="A7" s="2" t="s">
        <v>120</v>
      </c>
      <c r="B7" s="5" t="str">
        <f>IFERROR(__xludf.DUMMYFUNCTION("GOOGLETRANSLATE(A7,""ja"",""vi"")"),"[00:02:40-00:03:20][Tanaka] Thưa ông Ito, xin hãy cho chúng tôi biết chi tiết.")</f>
        <v>[00:02:40-00:03:20][Tanaka] Thưa ông Ito, xin hãy cho chúng tôi biết chi tiết.</v>
      </c>
    </row>
    <row r="8">
      <c r="A8" s="2" t="s">
        <v>121</v>
      </c>
      <c r="B8" s="5" t="str">
        <f>IFERROR(__xludf.DUMMYFUNCTION("GOOGLETRANSLATE(A8,""ja"",""vi"")"),"[00:03:20-00:04:30][Ito] Vâng. Về phân bổ theo sản phẩm, doanh số bán giấy phép nhận dạng giọng nói chiếm 60% tổng số, tăng 20% ​​so với năm trước. Hợp đồng dịch vụ đám mây chiếm 30% tổng số, tăng 8% so với năm trước. Dịch vụ tư vấn chiếm 10% tổng số, tăn"&amp;"g 5% so với năm trước.")</f>
        <v>[00:03:20-00:04:30][Ito] Vâng. Về phân bổ theo sản phẩm, doanh số bán giấy phép nhận dạng giọng nói chiếm 60% tổng số, tăng 20% ​​so với năm trước. Hợp đồng dịch vụ đám mây chiếm 30% tổng số, tăng 8% so với năm trước. Dịch vụ tư vấn chiếm 10% tổng số, tăng 5% so với năm trước.</v>
      </c>
    </row>
    <row r="9">
      <c r="A9" s="2" t="s">
        <v>122</v>
      </c>
      <c r="B9" s="5" t="str">
        <f>IFERROR(__xludf.DUMMYFUNCTION("GOOGLETRANSLATE(A9,""ja"",""vi"")"),"[00:04:30-00:05:10][Tanaka] Sự phát triển của công nghệ nhận dạng giọng nói đặc biệt đáng kể. Anh/chị đã có thêm bao nhiêu khách hàng mới?")</f>
        <v>[00:04:30-00:05:10][Tanaka] Sự phát triển của công nghệ nhận dạng giọng nói đặc biệt đáng kể. Anh/chị đã có thêm bao nhiêu khách hàng mới?</v>
      </c>
    </row>
    <row r="10">
      <c r="A10" s="2" t="s">
        <v>123</v>
      </c>
      <c r="B10" s="5" t="str">
        <f>IFERROR(__xludf.DUMMYFUNCTION("GOOGLETRANSLATE(A10,""ja"",""vi"")"),"[00:05:10-00:05:55][Ito] Trong quý 1, chúng tôi đã có thêm mười lăm khách hàng mới. Trong số này, bảy khách hàng thuộc lĩnh vực sản xuất, bốn khách hàng thuộc lĩnh vực chăm sóc sức khỏe và bốn khách hàng thuộc ngành dịch vụ. Tỷ lệ sử dụng trong lĩnh vực s"&amp;"ản xuất tăng trưởng vượt dự kiến. Điều này là do nhu cầu về hệ thống nhập liệu bằng giọng nói trong các nhà máy đang ngày càng tăng.")</f>
        <v>[00:05:10-00:05:55][Ito] Trong quý 1, chúng tôi đã có thêm mười lăm khách hàng mới. Trong số này, bảy khách hàng thuộc lĩnh vực sản xuất, bốn khách hàng thuộc lĩnh vực chăm sóc sức khỏe và bốn khách hàng thuộc ngành dịch vụ. Tỷ lệ sử dụng trong lĩnh vực sản xuất tăng trưởng vượt dự kiến. Điều này là do nhu cầu về hệ thống nhập liệu bằng giọng nói trong các nhà máy đang ngày càng tăng.</v>
      </c>
    </row>
    <row r="11">
      <c r="A11" s="2" t="s">
        <v>124</v>
      </c>
      <c r="B11" s="5" t="str">
        <f>IFERROR(__xludf.DUMMYFUNCTION("GOOGLETRANSLATE(A11,""ja"",""vi"")"),"[00:05:55-00:06:25][Nakamura] Việc mở rộng sang ngành công nghiệp sản xuất là kết quả của hoạt động tiếp thị chuyên biệt cho ngành mà chúng tôi đã thực hiện từ năm ngoái.")</f>
        <v>[00:05:55-00:06:25][Nakamura] Việc mở rộng sang ngành công nghiệp sản xuất là kết quả của hoạt động tiếp thị chuyên biệt cho ngành mà chúng tôi đã thực hiện từ năm ngoái.</v>
      </c>
    </row>
    <row r="12">
      <c r="A12" s="2" t="s">
        <v>125</v>
      </c>
      <c r="B12" s="5" t="str">
        <f>IFERROR(__xludf.DUMMYFUNCTION("GOOGLETRANSLATE(A12,""ja"",""vi"")"),"[00:06:25-00:07:10][Ito] Đúng vậy. Phương pháp tiếp cận có mục tiêu của chúng tôi đã thành công. Đặc biệt, bằng cách công bố các nghiên cứu điển hình từ các công ty sản xuất lớn, chúng tôi đã thấy sự gia tăng các yêu cầu từ các công ty khác trong cùng ngà"&amp;"nh. Kể từ nửa cuối quý 1, các cuộc đàm phán kinh doanh đến từ bên ngoài đã chiếm 40% tổng số của chúng tôi.")</f>
        <v>[00:06:25-00:07:10][Ito] Đúng vậy. Phương pháp tiếp cận có mục tiêu của chúng tôi đã thành công. Đặc biệt, bằng cách công bố các nghiên cứu điển hình từ các công ty sản xuất lớn, chúng tôi đã thấy sự gia tăng các yêu cầu từ các công ty khác trong cùng ngành. Kể từ nửa cuối quý 1, các cuộc đàm phán kinh doanh đến từ bên ngoài đã chiếm 40% tổng số của chúng tôi.</v>
      </c>
    </row>
    <row r="13">
      <c r="A13" s="2" t="s">
        <v>126</v>
      </c>
      <c r="B13" s="5" t="str">
        <f>IFERROR(__xludf.DUMMYFUNCTION("GOOGLETRANSLATE(A13,""ja"",""vi"")"),"[00:07:10-00:07:45][Tanaka] Tuyệt vời. Lượng khách du lịch inbound tăng lên cũng sẽ cải thiện hiệu quả bán hàng. Có gặp khó khăn gì không?")</f>
        <v>[00:07:10-00:07:45][Tanaka] Tuyệt vời. Lượng khách du lịch inbound tăng lên cũng sẽ cải thiện hiệu quả bán hàng. Có gặp khó khăn gì không?</v>
      </c>
    </row>
    <row r="14">
      <c r="A14" s="2" t="s">
        <v>127</v>
      </c>
      <c r="B14" s="5" t="str">
        <f>IFERROR(__xludf.DUMMYFUNCTION("GOOGLETRANSLATE(A14,""ja"",""vi"")"),"[00:07:45-00:08:40][Ito] Có hai điểm. Thứ nhất, có sự cạnh tranh về giá với các công ty khác. Đặc biệt, việc tạo sự khác biệt so với các sản phẩm cạnh tranh giá thấp trong phân khúc doanh nghiệp vừa và nhỏ đang trở nên khó khăn. Thứ hai, thời gian từ khi "&amp;"ký hợp đồng đến khi thực hiện khá dài. Trung bình mất ba tháng, và ngày càng có nhiều khách hàng yêu cầu rút ngắn thời gian này.")</f>
        <v>[00:07:45-00:08:40][Ito] Có hai điểm. Thứ nhất, có sự cạnh tranh về giá với các công ty khác. Đặc biệt, việc tạo sự khác biệt so với các sản phẩm cạnh tranh giá thấp trong phân khúc doanh nghiệp vừa và nhỏ đang trở nên khó khăn. Thứ hai, thời gian từ khi ký hợp đồng đến khi thực hiện khá dài. Trung bình mất ba tháng, và ngày càng có nhiều khách hàng yêu cầu rút ngắn thời gian này.</v>
      </c>
    </row>
    <row r="15">
      <c r="A15" s="2" t="s">
        <v>128</v>
      </c>
      <c r="B15" s="5" t="str">
        <f>IFERROR(__xludf.DUMMYFUNCTION("GOOGLETRANSLATE(A15,""ja"",""vi"")"),"[00:08:40-00:09:10][Suzuki] Về thời gian thực hiện, tôi nghĩ chúng ta có thể cải thiện bằng cách tăng cường cấu trúc của đội ngũ hỗ trợ triển khai.")</f>
        <v>[00:08:40-00:09:10][Suzuki] Về thời gian thực hiện, tôi nghĩ chúng ta có thể cải thiện bằng cách tăng cường cấu trúc của đội ngũ hỗ trợ triển khai.</v>
      </c>
    </row>
    <row r="16">
      <c r="A16" s="2" t="s">
        <v>129</v>
      </c>
      <c r="B16" s="5" t="str">
        <f>IFERROR(__xludf.DUMMYFUNCTION("GOOGLETRANSLATE(A16,""ja"",""vi"")"),"[00:09:10-00:09:45][Tanaka] Chúng ta sẽ thảo luận điểm đó riêng. Nakamura, xin hãy giải thích chiến lược tiếp thị cho quý 2.")</f>
        <v>[00:09:10-00:09:45][Tanaka] Chúng ta sẽ thảo luận điểm đó riêng. Nakamura, xin hãy giải thích chiến lược tiếp thị cho quý 2.</v>
      </c>
    </row>
    <row r="17">
      <c r="A17" s="2" t="s">
        <v>130</v>
      </c>
      <c r="B17" s="5" t="str">
        <f>IFERROR(__xludf.DUMMYFUNCTION("GOOGLETRANSLATE(A17,""ja"",""vi"")"),"[00:09:45-00:10:50][Nakamura] Vâng. Chúng tôi đang lên kế hoạch tổng ngân sách tiếp thị là 50 triệu yên cho quý 2. Cụ thể như sau: 30 triệu yên cho quảng cáo trên mạng xã hội, 10 triệu yên cho tham gia triển lãm và sự kiện, 5 triệu yên cho tiếp thị nội du"&amp;"ng và 5 triệu yên cho các biện pháp SEO/SEM.")</f>
        <v>[00:09:45-00:10:50][Nakamura] Vâng. Chúng tôi đang lên kế hoạch tổng ngân sách tiếp thị là 50 triệu yên cho quý 2. Cụ thể như sau: 30 triệu yên cho quảng cáo trên mạng xã hội, 10 triệu yên cho tham gia triển lãm và sự kiện, 5 triệu yên cho tiếp thị nội dung và 5 triệu yên cho các biện pháp SEO/SEM.</v>
      </c>
    </row>
    <row r="18">
      <c r="A18" s="2" t="s">
        <v>131</v>
      </c>
      <c r="B18" s="5" t="str">
        <f>IFERROR(__xludf.DUMMYFUNCTION("GOOGLETRANSLATE(A18,""ja"",""vi"")"),"[00:10:50-00:11:20][Tanaka] Chi 30 triệu yên cho quảng cáo trên mạng xã hội là một sự tăng đáng kể so với năm ngoái.")</f>
        <v>[00:10:50-00:11:20][Tanaka] Chi 30 triệu yên cho quảng cáo trên mạng xã hội là một sự tăng đáng kể so với năm ngoái.</v>
      </c>
    </row>
    <row r="19">
      <c r="A19" s="2" t="s">
        <v>132</v>
      </c>
      <c r="B19" s="5" t="str">
        <f>IFERROR(__xludf.DUMMYFUNCTION("GOOGLETRANSLATE(A19,""ja"",""vi"")"),"[00:11:20-00:12:10][Nakamura] Vâng. Sau khi phân tích dữ liệu hiệu suất năm ngoái, chúng tôi nhận thấy quảng cáo trên mạng xã hội có ROI cao nhất. Đặc biệt, nội dung B2B trên LinkedIn và YouTube rất hiệu quả. Trong quý 2, chúng tôi sẽ triển khai quảng cáo"&amp;" nhắm mục tiêu tập trung vào lĩnh vực sản xuất và y tế/chăm sóc sức khỏe.")</f>
        <v>[00:11:20-00:12:10][Nakamura] Vâng. Sau khi phân tích dữ liệu hiệu suất năm ngoái, chúng tôi nhận thấy quảng cáo trên mạng xã hội có ROI cao nhất. Đặc biệt, nội dung B2B trên LinkedIn và YouTube rất hiệu quả. Trong quý 2, chúng tôi sẽ triển khai quảng cáo nhắm mục tiêu tập trung vào lĩnh vực sản xuất và y tế/chăm sóc sức khỏe.</v>
      </c>
    </row>
    <row r="20">
      <c r="A20" s="2" t="s">
        <v>133</v>
      </c>
      <c r="B20" s="5" t="str">
        <f>IFERROR(__xludf.DUMMYFUNCTION("GOOGLETRANSLATE(A20,""ja"",""vi"")"),"[00:12:10-00:12:45][Ito] Bạn sẽ tham gia những triển lãm nào?")</f>
        <v>[00:12:10-00:12:45][Ito] Bạn sẽ tham gia những triển lãm nào?</v>
      </c>
    </row>
    <row r="21">
      <c r="A21" s="2" t="s">
        <v>134</v>
      </c>
      <c r="B21" s="5" t="str">
        <f>IFERROR(__xludf.DUMMYFUNCTION("GOOGLETRANSLATE(A21,""ja"",""vi"")"),"[00:12:45-00:13:30][Nakamura] Chúng tôi có ba sự kiện đã được lên kế hoạch: Hội nghị thượng đỉnh AI Nhật Bản tại Tokyo vào tháng 6, Triển lãm Công nghệ Sản xuất Nagoya vào tháng 7 và Triển lãm Hệ thống Thông tin Y tế Osaka vào tháng 8. Chúng tôi sẽ thiết "&amp;"lập các gian hàng demo tại mỗi triển lãm và làm việc với đội ngũ bán hàng để tạo ra các cơ hội kinh doanh.")</f>
        <v>[00:12:45-00:13:30][Nakamura] Chúng tôi có ba sự kiện đã được lên kế hoạch: Hội nghị thượng đỉnh AI Nhật Bản tại Tokyo vào tháng 6, Triển lãm Công nghệ Sản xuất Nagoya vào tháng 7 và Triển lãm Hệ thống Thông tin Y tế Osaka vào tháng 8. Chúng tôi sẽ thiết lập các gian hàng demo tại mỗi triển lãm và làm việc với đội ngũ bán hàng để tạo ra các cơ hội kinh doanh.</v>
      </c>
    </row>
    <row r="22">
      <c r="A22" s="2" t="s">
        <v>135</v>
      </c>
      <c r="B22" s="5" t="str">
        <f>IFERROR(__xludf.DUMMYFUNCTION("GOOGLETRANSLATE(A22,""ja"",""vi"")"),"[00:13:30-00:14:00][Tanaka] Nội dung của tiếp thị nội dung là gì?")</f>
        <v>[00:13:30-00:14:00][Tanaka] Nội dung của tiếp thị nội dung là gì?</v>
      </c>
    </row>
    <row r="23">
      <c r="A23" s="2" t="s">
        <v>136</v>
      </c>
      <c r="B23" s="5" t="str">
        <f>IFERROR(__xludf.DUMMYFUNCTION("GOOGLETRANSLATE(A23,""ja"",""vi"")"),"[00:14:00-00:14:55][Nakamura] Chúng tôi sẽ sản xuất hai bộ nghiên cứu trường hợp, một cho ngành sản xuất và một cho ngành y tế. Ngoài ra, chúng tôi sẽ xuất bản một báo cáo chuyên đề tóm tắt các xu hướng mới nhất về trí tuệ nhân tạo giọng nói hai lần một t"&amp;"háng. Điều này sẽ củng cố nỗ lực nuôi dưỡng khách hàng tiềm năng của chúng tôi.")</f>
        <v>[00:14:00-00:14:55][Nakamura] Chúng tôi sẽ sản xuất hai bộ nghiên cứu trường hợp, một cho ngành sản xuất và một cho ngành y tế. Ngoài ra, chúng tôi sẽ xuất bản một báo cáo chuyên đề tóm tắt các xu hướng mới nhất về trí tuệ nhân tạo giọng nói hai lần một tháng. Điều này sẽ củng cố nỗ lực nuôi dưỡng khách hàng tiềm năng của chúng tôi.</v>
      </c>
    </row>
    <row r="24">
      <c r="A24" s="2" t="s">
        <v>137</v>
      </c>
      <c r="B24" s="5" t="str">
        <f>IFERROR(__xludf.DUMMYFUNCTION("GOOGLETRANSLATE(A24,""ja"",""vi"")"),"[00:14:55-00:15:30][Sato] Tỷ lệ phần trăm chi phí tiếp thị của anh/chị chắc chắn sẽ được chi tiêu trong quý 2 là bao nhiêu? Tôi muốn biết điều này từ góc độ quản lý ngân sách.")</f>
        <v>[00:14:55-00:15:30][Sato] Tỷ lệ phần trăm chi phí tiếp thị của anh/chị chắc chắn sẽ được chi tiêu trong quý 2 là bao nhiêu? Tôi muốn biết điều này từ góc độ quản lý ngân sách.</v>
      </c>
    </row>
    <row r="25">
      <c r="A25" s="2" t="s">
        <v>138</v>
      </c>
      <c r="B25" s="5" t="str">
        <f>IFERROR(__xludf.DUMMYFUNCTION("GOOGLETRANSLATE(A25,""ja"",""vi"")"),"[00:15:30-00:16:10][Nakamura] Chúng tôi đã cam kết tổng cộng 10 triệu yên cho phí tham gia triển lãm và chi phí thiết lập địa điểm. Quảng cáo trên mạng xã hội là chi phí biến động có thể điều chỉnh hàng tháng.")</f>
        <v>[00:15:30-00:16:10][Nakamura] Chúng tôi đã cam kết tổng cộng 10 triệu yên cho phí tham gia triển lãm và chi phí thiết lập địa điểm. Quảng cáo trên mạng xã hội là chi phí biến động có thể điều chỉnh hàng tháng.</v>
      </c>
    </row>
    <row r="26">
      <c r="A26" s="2" t="s">
        <v>139</v>
      </c>
      <c r="B26" s="5" t="str">
        <f>IFERROR(__xludf.DUMMYFUNCTION("GOOGLETRANSLATE(A26,""ja"",""vi"")"),"[00:16:10-00:16:45][Tanaka] Đã hiểu. Giờ chúng ta hãy chuyển sang kế hoạch tuyển dụng. Kobayashi, mời.")</f>
        <v>[00:16:10-00:16:45][Tanaka] Đã hiểu. Giờ chúng ta hãy chuyển sang kế hoạch tuyển dụng. Kobayashi, mời.</v>
      </c>
    </row>
    <row r="27">
      <c r="A27" s="2" t="s">
        <v>140</v>
      </c>
      <c r="B27" s="5" t="str">
        <f>IFERROR(__xludf.DUMMYFUNCTION("GOOGLETRANSLATE(A27,""ja"",""vi"")"),"[00:16:45-00:17:50][Kobayashi] Vâng. Đây là về kế hoạch tuyển dụng của chúng tôi cho nửa cuối năm. Hiện tại, do mở rộng kinh doanh, chúng tôi dự kiến ​​sẽ tuyển dụng tổng cộng bảy người: ba kỹ sư, hai đại diện bán hàng và hai nhân viên hỗ trợ khách hàng. "&amp;"Tổng chi phí tuyển dụng ước tính khoảng 35 triệu yên.")</f>
        <v>[00:16:45-00:17:50][Kobayashi] Vâng. Đây là về kế hoạch tuyển dụng của chúng tôi cho nửa cuối năm. Hiện tại, do mở rộng kinh doanh, chúng tôi dự kiến ​​sẽ tuyển dụng tổng cộng bảy người: ba kỹ sư, hai đại diện bán hàng và hai nhân viên hỗ trợ khách hàng. Tổng chi phí tuyển dụng ước tính khoảng 35 triệu yên.</v>
      </c>
    </row>
    <row r="28">
      <c r="A28" s="2" t="s">
        <v>141</v>
      </c>
      <c r="B28" s="5" t="str">
        <f>IFERROR(__xludf.DUMMYFUNCTION("GOOGLETRANSLATE(A28,""ja"",""vi"")"),"[00:17:50-00:18:20][Tanaka] 35 triệu yên là một khoản đầu tư khá lớn. Ưu tiên của anh là gì?")</f>
        <v>[00:17:50-00:18:20][Tanaka] 35 triệu yên là một khoản đầu tư khá lớn. Ưu tiên của anh là gì?</v>
      </c>
    </row>
    <row r="29">
      <c r="A29" s="2" t="s">
        <v>142</v>
      </c>
      <c r="B29" s="5" t="str">
        <f>IFERROR(__xludf.DUMMYFUNCTION("GOOGLETRANSLATE(A29,""ja"",""vi"")"),"[00:18:20-00:19:10][Kobayashi] Ưu tiên hàng đầu của chúng tôi là các kỹ sư. Đội ngũ phát triển hiện tại đang gặp khó khăn trong việc triển khai các dự án mới. Ưu tiên tiếp theo là nhân viên bán hàng, với mục tiêu tăng cường khả năng phản hồi đối với các k"&amp;"hách hàng tiềm năng. Chúng tôi dự định bắt đầu tuyển dụng nhân viên hỗ trợ khách hàng vào nửa cuối năm nay.")</f>
        <v>[00:18:20-00:19:10][Kobayashi] Ưu tiên hàng đầu của chúng tôi là các kỹ sư. Đội ngũ phát triển hiện tại đang gặp khó khăn trong việc triển khai các dự án mới. Ưu tiên tiếp theo là nhân viên bán hàng, với mục tiêu tăng cường khả năng phản hồi đối với các khách hàng tiềm năng. Chúng tôi dự định bắt đầu tuyển dụng nhân viên hỗ trợ khách hàng vào nửa cuối năm nay.</v>
      </c>
    </row>
    <row r="30">
      <c r="A30" s="2" t="s">
        <v>143</v>
      </c>
      <c r="B30" s="5" t="str">
        <f>IFERROR(__xludf.DUMMYFUNCTION("GOOGLETRANSLATE(A30,""ja"",""vi"")"),"[00:19:10-00:19:50][Suzuki] Khi tuyển dụng kỹ sư, chúng ta nên thảo luận trước về các kỹ năng cần thiết. Độ khó của việc tuyển dụng sẽ khác nhau rất nhiều tùy thuộc vào việc bạn cần kỹ sư chuyên về xử lý âm thanh hay cần một kỹ sư toàn diện (full-stack en"&amp;"gineer).")</f>
        <v>[00:19:10-00:19:50][Suzuki] Khi tuyển dụng kỹ sư, chúng ta nên thảo luận trước về các kỹ năng cần thiết. Độ khó của việc tuyển dụng sẽ khác nhau rất nhiều tùy thuộc vào việc bạn cần kỹ sư chuyên về xử lý âm thanh hay cần một kỹ sư toàn diện (full-stack engineer).</v>
      </c>
    </row>
    <row r="31">
      <c r="A31" s="2" t="s">
        <v>144</v>
      </c>
      <c r="B31" s="5" t="str">
        <f>IFERROR(__xludf.DUMMYFUNCTION("GOOGLETRANSLATE(A31,""ja"",""vi"")"),"[00:19:50-00:20:30][Kobayashi] Anh nói hoàn toàn đúng. Chúng ta hãy lên lịch một cuộc họp vào tuần tới để xác định chi tiết các yêu cầu tuyển dụng. Tôi muốn hoàn thiện các yêu cầu kỹ thuật với ông Suzuki.")</f>
        <v>[00:19:50-00:20:30][Kobayashi] Anh nói hoàn toàn đúng. Chúng ta hãy lên lịch một cuộc họp vào tuần tới để xác định chi tiết các yêu cầu tuyển dụng. Tôi muốn hoàn thiện các yêu cầu kỹ thuật với ông Suzuki.</v>
      </c>
    </row>
    <row r="32">
      <c r="A32" s="2" t="s">
        <v>145</v>
      </c>
      <c r="B32" s="5" t="str">
        <f>IFERROR(__xludf.DUMMYFUNCTION("GOOGLETRANSLATE(A32,""ja"",""vi"")"),"[00:20:30-00:21:00][Tanaka] Xin mời làm như vậy. Ngày dự kiến ​​hoàn thành tuyển dụng là khi nào?")</f>
        <v>[00:20:30-00:21:00][Tanaka] Xin mời làm như vậy. Ngày dự kiến ​​hoàn thành tuyển dụng là khi nào?</v>
      </c>
    </row>
    <row r="33">
      <c r="A33" s="2" t="s">
        <v>146</v>
      </c>
      <c r="B33" s="5" t="str">
        <f>IFERROR(__xludf.DUMMYFUNCTION("GOOGLETRANSLATE(A33,""ja"",""vi"")"),"[00:21:00-00:21:50][Kobayashi] Mục tiêu của chúng tôi là hoàn tất việc tuyển dụng ba kỹ sư vào cuối tháng 9. Hai nhân viên bán hàng vào cuối tháng 10. Nhân viên hỗ trợ khách hàng dự kiến ​​sẽ được tuyển dụng vào cuối tháng 12.")</f>
        <v>[00:21:00-00:21:50][Kobayashi] Mục tiêu của chúng tôi là hoàn tất việc tuyển dụng ba kỹ sư vào cuối tháng 9. Hai nhân viên bán hàng vào cuối tháng 10. Nhân viên hỗ trợ khách hàng dự kiến ​​sẽ được tuyển dụng vào cuối tháng 12.</v>
      </c>
    </row>
    <row r="34">
      <c r="A34" s="2" t="s">
        <v>147</v>
      </c>
      <c r="B34" s="5" t="str">
        <f>IFERROR(__xludf.DUMMYFUNCTION("GOOGLETRANSLATE(A34,""ja"",""vi"")"),"[00:21:50-00:22:20][Tanaka] Bạn sẽ sử dụng những kênh tuyển dụng nào?")</f>
        <v>[00:21:50-00:22:20][Tanaka] Bạn sẽ sử dụng những kênh tuyển dụng nào?</v>
      </c>
    </row>
    <row r="35">
      <c r="A35" s="2" t="s">
        <v>148</v>
      </c>
      <c r="B35" s="5" t="str">
        <f>IFERROR(__xludf.DUMMYFUNCTION("GOOGLETRANSLATE(A35,""ja"",""vi"")"),"[00:22:20-00:23:10][Kobayashi] Đối với các kỹ sư, chúng tôi sẽ tập trung vào LinkedIn và các dịch vụ tìm việc kỹ thuật. Chúng tôi cũng dự định sử dụng một công ty tuyển dụng. Việc bán hàng chủ yếu sẽ do các công ty môi giới đảm nhiệm, và chúng tôi sẽ tích"&amp;" cực thúc đẩy tuyển dụng thông qua giới thiệu. Chúng tôi dự định bắt đầu một chiến dịch giới thiệu ứng viên trên toàn công ty vào tháng tới.")</f>
        <v>[00:22:20-00:23:10][Kobayashi] Đối với các kỹ sư, chúng tôi sẽ tập trung vào LinkedIn và các dịch vụ tìm việc kỹ thuật. Chúng tôi cũng dự định sử dụng một công ty tuyển dụng. Việc bán hàng chủ yếu sẽ do các công ty môi giới đảm nhiệm, và chúng tôi sẽ tích cực thúc đẩy tuyển dụng thông qua giới thiệu. Chúng tôi dự định bắt đầu một chiến dịch giới thiệu ứng viên trên toàn công ty vào tháng tới.</v>
      </c>
    </row>
    <row r="36">
      <c r="A36" s="2" t="s">
        <v>149</v>
      </c>
      <c r="B36" s="5" t="str">
        <f>IFERROR(__xludf.DUMMYFUNCTION("GOOGLETRANSLATE(A36,""ja"",""vi"")"),"[00:23:10-00:23:45][Ito] Giới thiệu rất hiệu quả. Tôi cảm thấy chất lượng giới thiệu nhân viên đặc biệt cao ở các vị trí bán hàng.")</f>
        <v>[00:23:10-00:23:45][Ito] Giới thiệu rất hiệu quả. Tôi cảm thấy chất lượng giới thiệu nhân viên đặc biệt cao ở các vị trí bán hàng.</v>
      </c>
    </row>
    <row r="37">
      <c r="A37" s="2" t="s">
        <v>150</v>
      </c>
      <c r="B37" s="5" t="str">
        <f>IFERROR(__xludf.DUMMYFUNCTION("GOOGLETRANSLATE(A37,""ja"",""vi"")"),"[00:23:45-00:24:20][Tanaka] Tôi đồng ý. Điều kiện để nhận tiền thưởng giới thiệu là gì?")</f>
        <v>[00:23:45-00:24:20][Tanaka] Tôi đồng ý. Điều kiện để nhận tiền thưởng giới thiệu là gì?</v>
      </c>
    </row>
    <row r="38">
      <c r="A38" s="2" t="s">
        <v>151</v>
      </c>
      <c r="B38" s="5" t="str">
        <f>IFERROR(__xludf.DUMMYFUNCTION("GOOGLETRANSLATE(A38,""ja"",""vi"")"),"[00:24:20-00:25:05][Kobayashi] Hiện tại, chúng tôi trả cho người giới thiệu 300.000 yên cho mỗi người được tuyển dụng thành công. Chúng tôi đề xuất tăng mức này lên 500.000 yên như một ưu đãi đặc biệt trong thời gian diễn ra chiến dịch này. Nếu được chấp "&amp;"thuận, chúng tôi sẽ thực hiện từ tháng sau.")</f>
        <v>[00:24:20-00:25:05][Kobayashi] Hiện tại, chúng tôi trả cho người giới thiệu 300.000 yên cho mỗi người được tuyển dụng thành công. Chúng tôi đề xuất tăng mức này lên 500.000 yên như một ưu đãi đặc biệt trong thời gian diễn ra chiến dịch này. Nếu được chấp thuận, chúng tôi sẽ thực hiện từ tháng sau.</v>
      </c>
    </row>
    <row r="39">
      <c r="A39" s="2" t="s">
        <v>152</v>
      </c>
      <c r="B39" s="5" t="str">
        <f>IFERROR(__xludf.DUMMYFUNCTION("GOOGLETRANSLATE(A39,""ja"",""vi"")"),"[00:25:05-00:25:40][Tanaka] Tôi nghĩ điều đó tốt. Tôi tán thành. Tôi hy vọng việc tăng tiền thưởng sẽ dẫn đến nhiều lượt giới thiệu hơn.")</f>
        <v>[00:25:05-00:25:40][Tanaka] Tôi nghĩ điều đó tốt. Tôi tán thành. Tôi hy vọng việc tăng tiền thưởng sẽ dẫn đến nhiều lượt giới thiệu hơn.</v>
      </c>
    </row>
    <row r="40">
      <c r="A40" s="2" t="s">
        <v>153</v>
      </c>
      <c r="B40" s="5" t="str">
        <f>IFERROR(__xludf.DUMMYFUNCTION("GOOGLETRANSLATE(A40,""ja"",""vi"")"),"[00:25:40-00:26:10][Kobayashi] Cảm ơn. Tôi sẽ bắt đầu ngay.")</f>
        <v>[00:25:40-00:26:10][Kobayashi] Cảm ơn. Tôi sẽ bắt đầu ngay.</v>
      </c>
    </row>
    <row r="41">
      <c r="A41" s="2" t="s">
        <v>154</v>
      </c>
      <c r="B41" s="5" t="str">
        <f>IFERROR(__xludf.DUMMYFUNCTION("GOOGLETRANSLATE(A41,""ja"",""vi"")"),"[00:26:10-00:26:50][Tanaka] Tôi có một câu hỏi liên quan đến tuyển dụng. Hiện tại có ứng viên nào đang được xem xét không?")</f>
        <v>[00:26:10-00:26:50][Tanaka] Tôi có một câu hỏi liên quan đến tuyển dụng. Hiện tại có ứng viên nào đang được xem xét không?</v>
      </c>
    </row>
    <row r="42">
      <c r="A42" s="2" t="s">
        <v>155</v>
      </c>
      <c r="B42" s="5" t="str">
        <f>IFERROR(__xludf.DUMMYFUNCTION("GOOGLETRANSLATE(A42,""ja"",""vi"")"),"[00:26:50-00:27:40][Kobayashi] Vâng. Chúng tôi có hai ứng viên ứng tuyển vào vị trí kỹ sư và đã lọt vào vòng phỏng vấn cuối cùng. Chúng tôi dự định sẽ đưa ra quyết định cuối cùng vào tuần tới. Chúng tôi cũng có năm ứng viên ứng tuyển vào vị trí bán hàng h"&amp;"iện đang trong quá trình kiểm tra hồ sơ.")</f>
        <v>[00:26:50-00:27:40][Kobayashi] Vâng. Chúng tôi có hai ứng viên ứng tuyển vào vị trí kỹ sư và đã lọt vào vòng phỏng vấn cuối cùng. Chúng tôi dự định sẽ đưa ra quyết định cuối cùng vào tuần tới. Chúng tôi cũng có năm ứng viên ứng tuyển vào vị trí bán hàng hiện đang trong quá trình kiểm tra hồ sơ.</v>
      </c>
    </row>
    <row r="43">
      <c r="A43" s="2" t="s">
        <v>156</v>
      </c>
      <c r="B43" s="5" t="str">
        <f>IFERROR(__xludf.DUMMYFUNCTION("GOOGLETRANSLATE(A43,""ja"",""vi"")"),"[00:27:40-00:28:10][Tanaka] Tốt lắm. Hãy ưu tiên tiến hành phỏng vấn các ứng viên vào vòng cuối. Bây giờ, chúng ta hãy xem lại các mục hành động của ngày hôm nay.")</f>
        <v>[00:27:40-00:28:10][Tanaka] Tốt lắm. Hãy ưu tiên tiến hành phỏng vấn các ứng viên vào vòng cuối. Bây giờ, chúng ta hãy xem lại các mục hành động của ngày hôm nay.</v>
      </c>
    </row>
    <row r="44">
      <c r="A44" s="2" t="s">
        <v>157</v>
      </c>
      <c r="B44" s="5" t="str">
        <f>IFERROR(__xludf.DUMMYFUNCTION("GOOGLETRANSLATE(A44,""ja"",""vi"")"),"[00:28:10-00:29:00][Tanaka] Trước tiên, Ito-san, vui lòng lập bảng phân tích mục tiêu doanh số quý 2 theo từng bộ phận trước thứ Sáu tuần tới. Vui lòng cũng bao gồm danh sách các công ty mục tiêu trong lĩnh vực sản xuất và chăm sóc sức khỏe.")</f>
        <v>[00:28:10-00:29:00][Tanaka] Trước tiên, Ito-san, vui lòng lập bảng phân tích mục tiêu doanh số quý 2 theo từng bộ phận trước thứ Sáu tuần tới. Vui lòng cũng bao gồm danh sách các công ty mục tiêu trong lĩnh vực sản xuất và chăm sóc sức khỏe.</v>
      </c>
    </row>
    <row r="45">
      <c r="A45" s="2" t="s">
        <v>158</v>
      </c>
      <c r="B45" s="5" t="str">
        <f>IFERROR(__xludf.DUMMYFUNCTION("GOOGLETRANSLATE(A45,""ja"",""vi"")"),"[00:29:00-00:29:20][Ito] Hiểu rồi.")</f>
        <v>[00:29:00-00:29:20][Ito] Hiểu rồi.</v>
      </c>
    </row>
    <row r="46">
      <c r="A46" s="2" t="s">
        <v>159</v>
      </c>
      <c r="B46" s="5" t="str">
        <f>IFERROR(__xludf.DUMMYFUNCTION("GOOGLETRANSLATE(A46,""ja"",""vi"")"),"[00:29:20-00:30:05][Tanaka] Nakamura-san, vui lòng nộp thiết kế gian hàng và kế hoạch triển lãm cho Hội nghị Thượng đỉnh AI Nhật Bản trước cuối tuần tới.")</f>
        <v>[00:29:20-00:30:05][Tanaka] Nakamura-san, vui lòng nộp thiết kế gian hàng và kế hoạch triển lãm cho Hội nghị Thượng đỉnh AI Nhật Bản trước cuối tuần tới.</v>
      </c>
    </row>
    <row r="47">
      <c r="A47" s="2" t="s">
        <v>160</v>
      </c>
      <c r="B47" s="5" t="str">
        <f>IFERROR(__xludf.DUMMYFUNCTION("GOOGLETRANSLATE(A47,""ja"",""vi"")"),"[00:30:05-00:30:20][Nakamura] Vâng, đã hiểu.")</f>
        <v>[00:30:05-00:30:20][Nakamura] Vâng, đã hiểu.</v>
      </c>
    </row>
    <row r="48">
      <c r="A48" s="2" t="s">
        <v>161</v>
      </c>
      <c r="B48" s="5" t="str">
        <f>IFERROR(__xludf.DUMMYFUNCTION("GOOGLETRANSLATE(A48,""ja"",""vi"")"),"[00:30:20-00:31:05][Tanaka] Kobayashi, vui lòng lên lịch gặp Suzuki vào tuần tới để xác định các yêu cầu tuyển dụng. Ngoài ra, vui lòng chia sẻ chi tiết về chiến dịch giới thiệu ứng viên với tôi trước cuối tuần này.")</f>
        <v>[00:30:20-00:31:05][Tanaka] Kobayashi, vui lòng lên lịch gặp Suzuki vào tuần tới để xác định các yêu cầu tuyển dụng. Ngoài ra, vui lòng chia sẻ chi tiết về chiến dịch giới thiệu ứng viên với tôi trước cuối tuần này.</v>
      </c>
    </row>
    <row r="49">
      <c r="A49" s="2" t="s">
        <v>162</v>
      </c>
      <c r="B49" s="5" t="str">
        <f>IFERROR(__xludf.DUMMYFUNCTION("GOOGLETRANSLATE(A49,""ja"",""vi"")"),"[00:31:05-00:31:25][Kobayashi] Đã hiểu.")</f>
        <v>[00:31:05-00:31:25][Kobayashi] Đã hiểu.</v>
      </c>
    </row>
    <row r="50">
      <c r="A50" s="2" t="s">
        <v>163</v>
      </c>
      <c r="B50" s="5" t="str">
        <f>IFERROR(__xludf.DUMMYFUNCTION("GOOGLETRANSLATE(A50,""ja"",""vi"")"),"[00:31:25-00:32:00][Tanaka] Anh Suzuki, kính mời anh tham dự cuộc họp về yêu cầu tuyển dụng vào tuần tới. Đồng thời, vui lòng hoàn thiện đề xuất tăng cường hệ thống hỗ trợ triển khai để rút ngắn thời gian thực hiện trước cuối tháng.")</f>
        <v>[00:31:25-00:32:00][Tanaka] Anh Suzuki, kính mời anh tham dự cuộc họp về yêu cầu tuyển dụng vào tuần tới. Đồng thời, vui lòng hoàn thiện đề xuất tăng cường hệ thống hỗ trợ triển khai để rút ngắn thời gian thực hiện trước cuối tháng.</v>
      </c>
    </row>
    <row r="51">
      <c r="A51" s="2" t="s">
        <v>164</v>
      </c>
      <c r="B51" s="5" t="str">
        <f>IFERROR(__xludf.DUMMYFUNCTION("GOOGLETRANSLATE(A51,""ja"",""vi"")"),"[00:32:00-00:32:20][Suzuki] Đã hiểu.")</f>
        <v>[00:32:00-00:32:20][Suzuki] Đã hiểu.</v>
      </c>
    </row>
    <row r="52">
      <c r="A52" s="2" t="s">
        <v>165</v>
      </c>
      <c r="B52" s="5" t="str">
        <f>IFERROR(__xludf.DUMMYFUNCTION("GOOGLETRANSLATE(A52,""ja"",""vi"")"),"[00:32:20-00:33:00][Tanaka] Tôi sẽ chia sẻ mục tiêu doanh số và các chỉ số hiệu suất quý 2 với toàn công ty trong tuần này. Tôi cũng sẽ chính thức phê duyệt việc tăng tiền thưởng cho chương trình giới thiệu nhân viên và thông báo cho bộ phận Nhân sự.")</f>
        <v>[00:32:20-00:33:00][Tanaka] Tôi sẽ chia sẻ mục tiêu doanh số và các chỉ số hiệu suất quý 2 với toàn công ty trong tuần này. Tôi cũng sẽ chính thức phê duyệt việc tăng tiền thưởng cho chương trình giới thiệu nhân viên và thông báo cho bộ phận Nhân sự.</v>
      </c>
    </row>
    <row r="53">
      <c r="A53" s="2" t="s">
        <v>166</v>
      </c>
      <c r="B53" s="5" t="str">
        <f>IFERROR(__xludf.DUMMYFUNCTION("GOOGLETRANSLATE(A53,""ja"",""vi"")"),"[00:33:00-00:33:40][Ito] Tanaka-san, tôi chỉ cần xác nhận một điều. Ông kỳ vọng mức tăng trưởng phần trăm là bao nhiêu cho quý 2 so với năm trước? Tôi muốn thông báo cho nhóm biết liệu mục tiêu có được nâng cao hay không dựa trên kết quả kinh doanh tốt tr"&amp;"ong quý 1.")</f>
        <v>[00:33:00-00:33:40][Ito] Tanaka-san, tôi chỉ cần xác nhận một điều. Ông kỳ vọng mức tăng trưởng phần trăm là bao nhiêu cho quý 2 so với năm trước? Tôi muốn thông báo cho nhóm biết liệu mục tiêu có được nâng cao hay không dựa trên kết quả kinh doanh tốt trong quý 1.</v>
      </c>
    </row>
    <row r="54">
      <c r="A54" s="2" t="s">
        <v>167</v>
      </c>
      <c r="B54" s="5" t="str">
        <f>IFERROR(__xludf.DUMMYFUNCTION("GOOGLETRANSLATE(A54,""ja"",""vi"")"),"[00:33:40-00:34:20][Tanaka] Chúng tôi đặt mục tiêu tăng trưởng 15% so với cùng kỳ năm ngoái trong quý 2. Dựa trên tỷ lệ đạt được trong quý 1, chúng tôi tin rằng đây là mức có thể đạt được. Tuy nhiên, các số liệu cuối cùng sẽ được hoàn thiện trong tuần này"&amp;".")</f>
        <v>[00:33:40-00:34:20][Tanaka] Chúng tôi đặt mục tiêu tăng trưởng 15% so với cùng kỳ năm ngoái trong quý 2. Dựa trên tỷ lệ đạt được trong quý 1, chúng tôi tin rằng đây là mức có thể đạt được. Tuy nhiên, các số liệu cuối cùng sẽ được hoàn thiện trong tuần này.</v>
      </c>
    </row>
    <row r="55">
      <c r="A55" s="2" t="s">
        <v>168</v>
      </c>
      <c r="B55" s="5" t="str">
        <f>IFERROR(__xludf.DUMMYFUNCTION("GOOGLETRANSLATE(A55,""ja"",""vi"")"),"[00:34:20-00:34:50][Ito] Đã hiểu. Tôi sẽ đợi đội chia sẻ mục tiêu.")</f>
        <v>[00:34:20-00:34:50][Ito] Đã hiểu. Tôi sẽ đợi đội chia sẻ mục tiêu.</v>
      </c>
    </row>
    <row r="56">
      <c r="A56" s="2" t="s">
        <v>169</v>
      </c>
      <c r="B56" s="5" t="str">
        <f>IFERROR(__xludf.DUMMYFUNCTION("GOOGLETRANSLATE(A56,""ja"",""vi"")"),"[00:34:50-00:35:25][Nakamura] Vui lòng xem xét lại các chỉ số KPI tiếp thị cho quý 2. Chúng tôi đặt mục tiêu đạt 50 khách hàng tiềm năng mỗi tháng và tăng 20% ​​lượng khách truy cập trang web so với tháng trước.")</f>
        <v>[00:34:50-00:35:25][Nakamura] Vui lòng xem xét lại các chỉ số KPI tiếp thị cho quý 2. Chúng tôi đặt mục tiêu đạt 50 khách hàng tiềm năng mỗi tháng và tăng 20% ​​lượng khách truy cập trang web so với tháng trước.</v>
      </c>
    </row>
    <row r="57">
      <c r="A57" s="2" t="s">
        <v>170</v>
      </c>
      <c r="B57" s="5" t="str">
        <f>IFERROR(__xludf.DUMMYFUNCTION("GOOGLETRANSLATE(A57,""ja"",""vi"")"),"[00:35:25-00:36:00][Tanaka] Tôi nghĩ vậy là tốt rồi. Chúng ta sẽ xem xét lại các chỉ số KPI tại cuộc họp thường kỳ hàng tháng.")</f>
        <v>[00:35:25-00:36:00][Tanaka] Tôi nghĩ vậy là tốt rồi. Chúng ta sẽ xem xét lại các chỉ số KPI tại cuộc họp thường kỳ hàng tháng.</v>
      </c>
    </row>
    <row r="58">
      <c r="A58" s="2" t="s">
        <v>171</v>
      </c>
      <c r="B58" s="5" t="str">
        <f>IFERROR(__xludf.DUMMYFUNCTION("GOOGLETRANSLATE(A58,""ja"",""vi"")"),"[00:36:00-00:36:40][Kobayashi] Chúng tôi cũng sẽ cập nhật tiến độ tuyển dụng tại các cuộc họp hàng tháng. Chúng tôi sẽ báo cáo về số lượng ứng viên được tuyển dụng thành công, số lượng cuộc phỏng vấn đã thực hiện, tỷ lệ chấp nhận lời mời làm việc, v.v.")</f>
        <v>[00:36:00-00:36:40][Kobayashi] Chúng tôi cũng sẽ cập nhật tiến độ tuyển dụng tại các cuộc họp hàng tháng. Chúng tôi sẽ báo cáo về số lượng ứng viên được tuyển dụng thành công, số lượng cuộc phỏng vấn đã thực hiện, tỷ lệ chấp nhận lời mời làm việc, v.v.</v>
      </c>
    </row>
    <row r="59">
      <c r="A59" s="2" t="s">
        <v>172</v>
      </c>
      <c r="B59" s="5" t="str">
        <f>IFERROR(__xludf.DUMMYFUNCTION("GOOGLETRANSLATE(A59,""ja"",""vi"")"),"[00:36:40-00:37:10][Tanaka] Hãy làm như vậy. Tuyển dụng là một trong những vấn đề quan trọng nhất cho sự phát triển trong tương lai của chúng ta.")</f>
        <v>[00:36:40-00:37:10][Tanaka] Hãy làm như vậy. Tuyển dụng là một trong những vấn đề quan trọng nhất cho sự phát triển trong tương lai của chúng ta.</v>
      </c>
    </row>
    <row r="60">
      <c r="A60" s="2" t="s">
        <v>173</v>
      </c>
      <c r="B60" s="5" t="str">
        <f>IFERROR(__xludf.DUMMYFUNCTION("GOOGLETRANSLATE(A60,""ja"",""vi"")"),"[00:37:10-00:37:50][Ito] Dường như các đối thủ cạnh tranh của chúng ta gần đây đang tích cực tuyển dụng. Cuộc cạnh tranh giành nhân tài hàng đầu rất khốc liệt, vì vậy tốc độ tuyển dụng và các điều khoản làm việc đang trở nên quan trọng.")</f>
        <v>[00:37:10-00:37:50][Ito] Dường như các đối thủ cạnh tranh của chúng ta gần đây đang tích cực tuyển dụng. Cuộc cạnh tranh giành nhân tài hàng đầu rất khốc liệt, vì vậy tốc độ tuyển dụng và các điều khoản làm việc đang trở nên quan trọng.</v>
      </c>
    </row>
    <row r="61">
      <c r="A61" s="2" t="s">
        <v>174</v>
      </c>
      <c r="B61" s="5" t="str">
        <f>IFERROR(__xludf.DUMMYFUNCTION("GOOGLETRANSLATE(A61,""ja"",""vi"")"),"[00:37:50-00:38:30][Kobayashi] Anh nói hoàn toàn đúng. Các kỹ sư, đặc biệt là trong lĩnh vực trí tuệ nhân tạo giọng nói, đang rất được săn đón. Chúng tôi cũng đang xem xét các biện pháp để giữ chân họ từ khi nhận được lời mời làm việc cho đến khi họ thực "&amp;"sự bắt đầu công việc.")</f>
        <v>[00:37:50-00:38:30][Kobayashi] Anh nói hoàn toàn đúng. Các kỹ sư, đặc biệt là trong lĩnh vực trí tuệ nhân tạo giọng nói, đang rất được săn đón. Chúng tôi cũng đang xem xét các biện pháp để giữ chân họ từ khi nhận được lời mời làm việc cho đến khi họ thực sự bắt đầu công việc.</v>
      </c>
    </row>
    <row r="62">
      <c r="A62" s="2" t="s">
        <v>175</v>
      </c>
      <c r="B62" s="5" t="str">
        <f>IFERROR(__xludf.DUMMYFUNCTION("GOOGLETRANSLATE(A62,""ja"",""vi"")"),"[00:38:30-00:39:00][Tanaka] Chúng ta cũng cần liên tục xem xét khả năng cạnh tranh của mình về mặt lương thưởng và phúc lợi.")</f>
        <v>[00:38:30-00:39:00][Tanaka] Chúng ta cũng cần liên tục xem xét khả năng cạnh tranh của mình về mặt lương thưởng và phúc lợi.</v>
      </c>
    </row>
    <row r="63">
      <c r="A63" s="2" t="s">
        <v>176</v>
      </c>
      <c r="B63" s="5" t="str">
        <f>IFERROR(__xludf.DUMMYFUNCTION("GOOGLETRANSLATE(A63,""ja"",""vi"")"),"[00:39:00-00:39:40][Kobayashi] Tôi đề xuất tiến hành khảo sát mức lương thưởng của các công ty khác trong cùng ngành sáu tháng một lần. Cuộc khảo sát tiếp theo dự kiến ​​vào tháng 7. Dựa trên kết quả, chúng ta sẽ điều chỉnh bảng lương thưởng nếu cần thiết"&amp;".")</f>
        <v>[00:39:00-00:39:40][Kobayashi] Tôi đề xuất tiến hành khảo sát mức lương thưởng của các công ty khác trong cùng ngành sáu tháng một lần. Cuộc khảo sát tiếp theo dự kiến ​​vào tháng 7. Dựa trên kết quả, chúng ta sẽ điều chỉnh bảng lương thưởng nếu cần thiết.</v>
      </c>
    </row>
    <row r="64">
      <c r="A64" s="2" t="s">
        <v>177</v>
      </c>
      <c r="B64" s="5" t="str">
        <f>IFERROR(__xludf.DUMMYFUNCTION("GOOGLETRANSLATE(A64,""ja"",""vi"")"),"[00:39:40-00:40:10][Tanaka] Tuyệt vời. Mời bạn cứ làm đi.")</f>
        <v>[00:39:40-00:40:10][Tanaka] Tuyệt vời. Mời bạn cứ làm đi.</v>
      </c>
    </row>
    <row r="65">
      <c r="A65" s="2" t="s">
        <v>178</v>
      </c>
      <c r="B65" s="5" t="str">
        <f>IFERROR(__xludf.DUMMYFUNCTION("GOOGLETRANSLATE(A65,""ja"",""vi"")"),"[00:40:10-00:40:50][Nakamura] Chúng tôi cũng muốn tập trung vào việc xây dựng thương hiệu tuyển dụng. Chúng tôi đang xem xét thiết kế lại trang web tuyển dụng dành cho người tìm việc và sản xuất các video phỏng vấn nhân viên. Điều này cũng sẽ giúp giảm ch"&amp;"i phí tuyển dụng.")</f>
        <v>[00:40:10-00:40:50][Nakamura] Chúng tôi cũng muốn tập trung vào việc xây dựng thương hiệu tuyển dụng. Chúng tôi đang xem xét thiết kế lại trang web tuyển dụng dành cho người tìm việc và sản xuất các video phỏng vấn nhân viên. Điều này cũng sẽ giúp giảm chi phí tuyển dụng.</v>
      </c>
    </row>
    <row r="66">
      <c r="A66" s="2" t="s">
        <v>179</v>
      </c>
      <c r="B66" s="5" t="str">
        <f>IFERROR(__xludf.DUMMYFUNCTION("GOOGLETRANSLATE(A66,""ja"",""vi"")"),"[00:40:50-00:41:20][Tanaka] Tiếp thị tuyển dụng rất quan trọng, phải không? Ngân sách dành cho việc này là bao nhiêu?")</f>
        <v>[00:40:50-00:41:20][Tanaka] Tiếp thị tuyển dụng rất quan trọng, phải không? Ngân sách dành cho việc này là bao nhiêu?</v>
      </c>
    </row>
    <row r="67">
      <c r="A67" s="2" t="s">
        <v>180</v>
      </c>
      <c r="B67" s="5" t="str">
        <f>IFERROR(__xludf.DUMMYFUNCTION("GOOGLETRANSLATE(A67,""ja"",""vi"")"),"[00:41:20-00:41:55][Nakamura] Chúng tôi dự kiến ​​chi phí thiết kế lại trang web tuyển dụng khoảng 1,5 triệu yên và chi phí sản xuất video khoảng 500.000 yên.")</f>
        <v>[00:41:20-00:41:55][Nakamura] Chúng tôi dự kiến ​​chi phí thiết kế lại trang web tuyển dụng khoảng 1,5 triệu yên và chi phí sản xuất video khoảng 500.000 yên.</v>
      </c>
    </row>
    <row r="68">
      <c r="A68" s="2" t="s">
        <v>181</v>
      </c>
      <c r="B68" s="5" t="str">
        <f>IFERROR(__xludf.DUMMYFUNCTION("GOOGLETRANSLATE(A68,""ja"",""vi"")"),"[00:41:55-00:42:20][Tanaka] Vui lòng phối hợp với ngân sách nhân sự. Vui lòng phối hợp với Kobayashi và Nakamura.")</f>
        <v>[00:41:55-00:42:20][Tanaka] Vui lòng phối hợp với ngân sách nhân sự. Vui lòng phối hợp với Kobayashi và Nakamura.</v>
      </c>
    </row>
    <row r="69">
      <c r="A69" s="2" t="s">
        <v>182</v>
      </c>
      <c r="B69" s="5" t="str">
        <f>IFERROR(__xludf.DUMMYFUNCTION("GOOGLETRANSLATE(A69,""ja"",""vi"")"),"[00:42:20-00:42:45][Kobayashi] Vâng, chúng tôi sẽ hợp tác.")</f>
        <v>[00:42:20-00:42:45][Kobayashi] Vâng, chúng tôi sẽ hợp tác.</v>
      </c>
    </row>
    <row r="70">
      <c r="A70" s="2" t="s">
        <v>183</v>
      </c>
      <c r="B70" s="5" t="str">
        <f>IFERROR(__xludf.DUMMYFUNCTION("GOOGLETRANSLATE(A70,""ja"",""vi"")"),"[00:42:45-00:43:30][Tanaka] Chúng ta hãy kết thúc cuộc họp hôm nay tại đây. Tiếp nối những kết quả xuất sắc của quý 1, chúng ta hãy cố gắng hết sức trong quý 2. Hãy nhớ tiếp tục thực hiện các nhiệm vụ cá nhân của mình.")</f>
        <v>[00:42:45-00:43:30][Tanaka] Chúng ta hãy kết thúc cuộc họp hôm nay tại đây. Tiếp nối những kết quả xuất sắc của quý 1, chúng ta hãy cố gắng hết sức trong quý 2. Hãy nhớ tiếp tục thực hiện các nhiệm vụ cá nhân của mình.</v>
      </c>
    </row>
    <row r="71">
      <c r="A71" s="2" t="s">
        <v>184</v>
      </c>
      <c r="B71" s="5" t="str">
        <f>IFERROR(__xludf.DUMMYFUNCTION("GOOGLETRANSLATE(A71,""ja"",""vi"")"),"[00:43:30-00:44:00][Ito] Cảm ơn rất nhiều. Tôi sẽ tiếp tục dẫn dắt đội ngũ bán hàng.")</f>
        <v>[00:43:30-00:44:00][Ito] Cảm ơn rất nhiều. Tôi sẽ tiếp tục dẫn dắt đội ngũ bán hàng.</v>
      </c>
    </row>
    <row r="72">
      <c r="A72" s="2" t="s">
        <v>185</v>
      </c>
      <c r="B72" s="5" t="str">
        <f>IFERROR(__xludf.DUMMYFUNCTION("GOOGLETRANSLATE(A72,""ja"",""vi"")"),"[00:44:00-00:44:30][Nakamura] Chúng tôi sẽ hỗ trợ bạn toàn diện về mặt tiếp thị.")</f>
        <v>[00:44:00-00:44:30][Nakamura] Chúng tôi sẽ hỗ trợ bạn toàn diện về mặt tiếp thị.</v>
      </c>
    </row>
    <row r="73">
      <c r="A73" s="2" t="s">
        <v>186</v>
      </c>
      <c r="B73" s="5" t="str">
        <f>IFERROR(__xludf.DUMMYFUNCTION("GOOGLETRANSLATE(A73,""ja"",""vi"")"),"[00:44:30-00:45:00][Kobayashi] Tôi sẽ hỗ trợ sự phát triển của công ty từ góc độ tuyển dụng. Cảm ơn sự xem xét của quý vị.")</f>
        <v>[00:44:30-00:45:00][Kobayashi] Tôi sẽ hỗ trợ sự phát triển của công ty từ góc độ tuyển dụng. Cảm ơn sự xem xét của quý vị.</v>
      </c>
    </row>
    <row r="74">
      <c r="A74" s="2" t="s">
        <v>187</v>
      </c>
      <c r="B74" s="5" t="str">
        <f>IFERROR(__xludf.DUMMYFUNCTION("GOOGLETRANSLATE(A74,""ja"",""vi"")"),"[00:45:00-00:45:10][Tanaka] Cảm ơn vì sự nỗ lực của các bạn. Cuộc họp tiếp theo sẽ diễn ra vào ngày 3 tháng 6.")</f>
        <v>[00:45:00-00:45:10][Tanaka] Cảm ơn vì sự nỗ lực của các bạn. Cuộc họp tiếp theo sẽ diễn ra vào ngày 3 tháng 6.</v>
      </c>
    </row>
    <row r="75">
      <c r="A75" s="5"/>
      <c r="B75" s="5"/>
    </row>
    <row r="76">
      <c r="A76" s="5"/>
      <c r="B76" s="5"/>
    </row>
    <row r="77">
      <c r="A77" s="5"/>
      <c r="B77" s="5"/>
    </row>
    <row r="78">
      <c r="A78" s="5"/>
      <c r="B78" s="5"/>
    </row>
    <row r="79">
      <c r="A79" s="5"/>
      <c r="B79" s="5"/>
    </row>
    <row r="80">
      <c r="A80" s="5"/>
      <c r="B80" s="5"/>
    </row>
    <row r="81">
      <c r="A81" s="5"/>
      <c r="B81" s="5"/>
    </row>
    <row r="82">
      <c r="A82" s="5"/>
      <c r="B82" s="5"/>
    </row>
    <row r="83">
      <c r="A83" s="5"/>
      <c r="B83" s="5"/>
    </row>
    <row r="84">
      <c r="A84" s="5"/>
      <c r="B84" s="5"/>
    </row>
    <row r="85">
      <c r="A85" s="5"/>
      <c r="B85" s="5"/>
    </row>
    <row r="86">
      <c r="A86" s="5"/>
      <c r="B86" s="5"/>
    </row>
    <row r="87">
      <c r="A87" s="5"/>
      <c r="B87" s="5"/>
    </row>
    <row r="88">
      <c r="A88" s="5"/>
      <c r="B88" s="5"/>
    </row>
    <row r="89">
      <c r="A89" s="5"/>
      <c r="B89" s="5"/>
    </row>
    <row r="90">
      <c r="A90" s="5"/>
      <c r="B90" s="5"/>
    </row>
    <row r="91">
      <c r="A91" s="5"/>
      <c r="B91" s="5"/>
    </row>
    <row r="92">
      <c r="A92" s="5"/>
      <c r="B92" s="5"/>
    </row>
    <row r="93">
      <c r="A93" s="5"/>
      <c r="B93" s="5"/>
    </row>
    <row r="94">
      <c r="A94" s="5"/>
      <c r="B94" s="5"/>
    </row>
    <row r="95">
      <c r="A95" s="5"/>
      <c r="B95" s="5"/>
    </row>
    <row r="96">
      <c r="A96" s="5"/>
      <c r="B96" s="5"/>
    </row>
    <row r="97">
      <c r="A97" s="5"/>
      <c r="B97" s="5"/>
    </row>
    <row r="98">
      <c r="A98" s="5"/>
      <c r="B98" s="5"/>
    </row>
    <row r="99">
      <c r="A99" s="5"/>
      <c r="B99" s="5"/>
    </row>
    <row r="100">
      <c r="A100" s="5"/>
      <c r="B100" s="5"/>
    </row>
    <row r="101">
      <c r="A101" s="5"/>
      <c r="B101" s="5"/>
    </row>
    <row r="102">
      <c r="A102" s="5"/>
      <c r="B102" s="5"/>
    </row>
    <row r="103">
      <c r="A103" s="5"/>
      <c r="B103" s="5"/>
    </row>
    <row r="104">
      <c r="A104" s="5"/>
      <c r="B104" s="5"/>
    </row>
    <row r="105">
      <c r="A105" s="5"/>
      <c r="B105" s="5"/>
    </row>
    <row r="106">
      <c r="A106" s="5"/>
      <c r="B106" s="5"/>
    </row>
    <row r="107">
      <c r="A107" s="5"/>
      <c r="B107" s="5"/>
    </row>
    <row r="108">
      <c r="A108" s="5"/>
      <c r="B108" s="5"/>
    </row>
    <row r="109">
      <c r="A109" s="5"/>
      <c r="B109" s="5"/>
    </row>
    <row r="110">
      <c r="A110" s="5"/>
      <c r="B110" s="5"/>
    </row>
    <row r="111">
      <c r="A111" s="5"/>
      <c r="B111" s="5"/>
    </row>
    <row r="112">
      <c r="A112" s="5"/>
      <c r="B112" s="5"/>
    </row>
    <row r="113">
      <c r="A113" s="5"/>
      <c r="B113" s="5"/>
    </row>
    <row r="114">
      <c r="A114" s="5"/>
      <c r="B114" s="5"/>
    </row>
    <row r="115">
      <c r="A115" s="5"/>
      <c r="B115" s="5"/>
    </row>
    <row r="116">
      <c r="A116" s="5"/>
      <c r="B116" s="5"/>
    </row>
    <row r="117">
      <c r="A117" s="5"/>
      <c r="B117" s="5"/>
    </row>
    <row r="118">
      <c r="A118" s="5"/>
      <c r="B118" s="5"/>
    </row>
    <row r="119">
      <c r="A119" s="5"/>
      <c r="B119" s="5"/>
    </row>
    <row r="120">
      <c r="A120" s="5"/>
      <c r="B120" s="5"/>
    </row>
    <row r="121">
      <c r="A121" s="5"/>
      <c r="B121" s="5"/>
    </row>
    <row r="122">
      <c r="A122" s="5"/>
      <c r="B122" s="5"/>
    </row>
    <row r="123">
      <c r="A123" s="5"/>
      <c r="B123" s="5"/>
    </row>
    <row r="124">
      <c r="A124" s="5"/>
      <c r="B124" s="5"/>
    </row>
    <row r="125">
      <c r="A125" s="5"/>
      <c r="B125" s="5"/>
    </row>
    <row r="126">
      <c r="A126" s="5"/>
      <c r="B126" s="5"/>
    </row>
    <row r="127">
      <c r="A127" s="5"/>
      <c r="B127" s="5"/>
    </row>
    <row r="128">
      <c r="A128" s="5"/>
      <c r="B128" s="5"/>
    </row>
    <row r="129">
      <c r="A129" s="5"/>
      <c r="B129" s="5"/>
    </row>
    <row r="130">
      <c r="A130" s="5"/>
      <c r="B130" s="5"/>
    </row>
    <row r="131">
      <c r="A131" s="5"/>
      <c r="B131" s="5"/>
    </row>
    <row r="132">
      <c r="A132" s="5"/>
      <c r="B132" s="5"/>
    </row>
    <row r="133">
      <c r="A133" s="5"/>
      <c r="B133" s="5"/>
    </row>
    <row r="134">
      <c r="A134" s="5"/>
      <c r="B134" s="5"/>
    </row>
    <row r="135">
      <c r="A135" s="5"/>
      <c r="B135" s="5"/>
    </row>
    <row r="136">
      <c r="A136" s="5"/>
      <c r="B136" s="5"/>
    </row>
    <row r="137">
      <c r="A137" s="5"/>
      <c r="B137" s="5"/>
    </row>
    <row r="138">
      <c r="A138" s="5"/>
      <c r="B138" s="5"/>
    </row>
    <row r="139">
      <c r="A139" s="5"/>
      <c r="B139" s="5"/>
    </row>
    <row r="140">
      <c r="A140" s="5"/>
      <c r="B140" s="5"/>
    </row>
    <row r="141">
      <c r="A141" s="5"/>
      <c r="B141" s="5"/>
    </row>
    <row r="142">
      <c r="A142" s="5"/>
      <c r="B142" s="5"/>
    </row>
    <row r="143">
      <c r="A143" s="5"/>
      <c r="B143" s="5"/>
    </row>
    <row r="144">
      <c r="A144" s="5"/>
      <c r="B144" s="5"/>
    </row>
    <row r="145">
      <c r="A145" s="5"/>
      <c r="B145" s="5"/>
    </row>
    <row r="146">
      <c r="A146" s="5"/>
      <c r="B146" s="5"/>
    </row>
    <row r="147">
      <c r="A147" s="5"/>
      <c r="B147" s="5"/>
    </row>
    <row r="148">
      <c r="A148" s="5"/>
      <c r="B148" s="5"/>
    </row>
    <row r="149">
      <c r="A149" s="5"/>
      <c r="B149" s="5"/>
    </row>
    <row r="150">
      <c r="A150" s="5"/>
      <c r="B150" s="5"/>
    </row>
    <row r="151">
      <c r="A151" s="5"/>
      <c r="B151" s="5"/>
    </row>
    <row r="152">
      <c r="A152" s="5"/>
      <c r="B152" s="5"/>
    </row>
    <row r="153">
      <c r="A153" s="5"/>
      <c r="B153" s="5"/>
    </row>
    <row r="154">
      <c r="A154" s="5"/>
      <c r="B154" s="5"/>
    </row>
    <row r="155">
      <c r="A155" s="5"/>
      <c r="B155" s="5"/>
    </row>
    <row r="156">
      <c r="A156" s="5"/>
      <c r="B156" s="5"/>
    </row>
    <row r="157">
      <c r="A157" s="5"/>
      <c r="B157" s="5"/>
    </row>
    <row r="158">
      <c r="A158" s="5"/>
      <c r="B158" s="5"/>
    </row>
    <row r="159">
      <c r="A159" s="5"/>
      <c r="B159" s="5"/>
    </row>
    <row r="160">
      <c r="A160" s="5"/>
      <c r="B160" s="5"/>
    </row>
    <row r="161">
      <c r="A161" s="5"/>
      <c r="B161" s="5"/>
    </row>
    <row r="162">
      <c r="A162" s="5"/>
      <c r="B162" s="5"/>
    </row>
    <row r="163">
      <c r="A163" s="5"/>
      <c r="B163" s="5"/>
    </row>
    <row r="164">
      <c r="A164" s="5"/>
      <c r="B164" s="5"/>
    </row>
    <row r="165">
      <c r="A165" s="5"/>
      <c r="B165" s="5"/>
    </row>
    <row r="166">
      <c r="A166" s="5"/>
      <c r="B166" s="5"/>
    </row>
    <row r="167">
      <c r="A167" s="5"/>
      <c r="B167" s="5"/>
    </row>
    <row r="168">
      <c r="A168" s="5"/>
      <c r="B168" s="5"/>
    </row>
    <row r="169">
      <c r="A169" s="5"/>
      <c r="B169" s="5"/>
    </row>
    <row r="170">
      <c r="A170" s="5"/>
      <c r="B170" s="5"/>
    </row>
    <row r="171">
      <c r="A171" s="5"/>
      <c r="B171" s="5"/>
    </row>
    <row r="172">
      <c r="A172" s="5"/>
      <c r="B172" s="5"/>
    </row>
    <row r="173">
      <c r="A173" s="5"/>
      <c r="B173" s="5"/>
    </row>
    <row r="174">
      <c r="A174" s="5"/>
      <c r="B174" s="5"/>
    </row>
    <row r="175">
      <c r="A175" s="5"/>
      <c r="B175" s="5"/>
    </row>
    <row r="176">
      <c r="A176" s="5"/>
      <c r="B176" s="5"/>
    </row>
    <row r="177">
      <c r="A177" s="5"/>
      <c r="B177" s="5"/>
    </row>
    <row r="178">
      <c r="A178" s="5"/>
      <c r="B178" s="5"/>
    </row>
    <row r="179">
      <c r="A179" s="5"/>
      <c r="B179" s="5"/>
    </row>
    <row r="180">
      <c r="A180" s="5"/>
      <c r="B180" s="5"/>
    </row>
    <row r="181">
      <c r="A181" s="5"/>
      <c r="B181" s="5"/>
    </row>
    <row r="182">
      <c r="A182" s="5"/>
      <c r="B182" s="5"/>
    </row>
    <row r="183">
      <c r="A183" s="5"/>
      <c r="B183" s="5"/>
    </row>
    <row r="184">
      <c r="A184" s="5"/>
      <c r="B184" s="5"/>
    </row>
    <row r="185">
      <c r="A185" s="5"/>
      <c r="B185" s="5"/>
    </row>
    <row r="186">
      <c r="A186" s="5"/>
      <c r="B186" s="5"/>
    </row>
    <row r="187">
      <c r="A187" s="5"/>
      <c r="B187" s="5"/>
    </row>
    <row r="188">
      <c r="A188" s="5"/>
      <c r="B188" s="5"/>
    </row>
    <row r="189">
      <c r="A189" s="5"/>
      <c r="B189" s="5"/>
    </row>
    <row r="190">
      <c r="A190" s="5"/>
      <c r="B190" s="5"/>
    </row>
    <row r="191">
      <c r="A191" s="5"/>
      <c r="B191" s="5"/>
    </row>
    <row r="192">
      <c r="A192" s="5"/>
      <c r="B192" s="5"/>
    </row>
    <row r="193">
      <c r="A193" s="5"/>
      <c r="B193" s="5"/>
    </row>
    <row r="194">
      <c r="A194" s="5"/>
      <c r="B194" s="5"/>
    </row>
    <row r="195">
      <c r="A195" s="5"/>
      <c r="B195" s="5"/>
    </row>
    <row r="196">
      <c r="A196" s="5"/>
      <c r="B196" s="5"/>
    </row>
    <row r="197">
      <c r="A197" s="5"/>
      <c r="B197" s="5"/>
    </row>
    <row r="198">
      <c r="A198" s="5"/>
      <c r="B198" s="5"/>
    </row>
    <row r="199">
      <c r="A199" s="5"/>
      <c r="B199" s="5"/>
    </row>
    <row r="200">
      <c r="A200" s="5"/>
      <c r="B200" s="5"/>
    </row>
    <row r="201">
      <c r="A201" s="5"/>
      <c r="B201" s="5"/>
    </row>
    <row r="202">
      <c r="A202" s="5"/>
      <c r="B202" s="5"/>
    </row>
    <row r="203">
      <c r="A203" s="5"/>
      <c r="B203" s="5"/>
    </row>
    <row r="204">
      <c r="A204" s="5"/>
      <c r="B204" s="5"/>
    </row>
    <row r="205">
      <c r="A205" s="5"/>
      <c r="B205" s="5"/>
    </row>
    <row r="206">
      <c r="A206" s="5"/>
      <c r="B206" s="5"/>
    </row>
    <row r="207">
      <c r="A207" s="5"/>
      <c r="B207" s="5"/>
    </row>
    <row r="208">
      <c r="A208" s="5"/>
      <c r="B208" s="5"/>
    </row>
    <row r="209">
      <c r="A209" s="5"/>
      <c r="B209" s="5"/>
    </row>
    <row r="210">
      <c r="A210" s="5"/>
      <c r="B210" s="5"/>
    </row>
    <row r="211">
      <c r="A211" s="5"/>
      <c r="B211" s="5"/>
    </row>
    <row r="212">
      <c r="A212" s="5"/>
      <c r="B212" s="5"/>
    </row>
    <row r="213">
      <c r="A213" s="5"/>
      <c r="B213" s="5"/>
    </row>
    <row r="214">
      <c r="A214" s="5"/>
      <c r="B214" s="5"/>
    </row>
    <row r="215">
      <c r="A215" s="5"/>
      <c r="B215" s="5"/>
    </row>
    <row r="216">
      <c r="A216" s="5"/>
      <c r="B216" s="5"/>
    </row>
    <row r="217">
      <c r="A217" s="5"/>
      <c r="B217" s="5"/>
    </row>
    <row r="218">
      <c r="A218" s="5"/>
      <c r="B218" s="5"/>
    </row>
    <row r="219">
      <c r="A219" s="5"/>
      <c r="B219" s="5"/>
    </row>
    <row r="220">
      <c r="A220" s="5"/>
      <c r="B220" s="5"/>
    </row>
    <row r="221">
      <c r="A221" s="5"/>
      <c r="B221" s="5"/>
    </row>
    <row r="222">
      <c r="A222" s="5"/>
      <c r="B222" s="5"/>
    </row>
    <row r="223">
      <c r="A223" s="5"/>
      <c r="B223" s="5"/>
    </row>
    <row r="224">
      <c r="A224" s="5"/>
      <c r="B224" s="5"/>
    </row>
    <row r="225">
      <c r="A225" s="5"/>
      <c r="B225" s="5"/>
    </row>
    <row r="226">
      <c r="A226" s="5"/>
      <c r="B226" s="5"/>
    </row>
    <row r="227">
      <c r="A227" s="5"/>
      <c r="B227" s="5"/>
    </row>
    <row r="228">
      <c r="A228" s="5"/>
      <c r="B228" s="5"/>
    </row>
    <row r="229">
      <c r="A229" s="5"/>
      <c r="B229" s="5"/>
    </row>
    <row r="230">
      <c r="A230" s="5"/>
      <c r="B230" s="5"/>
    </row>
    <row r="231">
      <c r="A231" s="5"/>
      <c r="B231" s="5"/>
    </row>
    <row r="232">
      <c r="A232" s="5"/>
      <c r="B232" s="5"/>
    </row>
    <row r="233">
      <c r="A233" s="5"/>
      <c r="B233" s="5"/>
    </row>
    <row r="234">
      <c r="A234" s="5"/>
      <c r="B234" s="5"/>
    </row>
    <row r="235">
      <c r="A235" s="5"/>
      <c r="B235" s="5"/>
    </row>
    <row r="236">
      <c r="A236" s="5"/>
      <c r="B236" s="5"/>
    </row>
    <row r="237">
      <c r="A237" s="5"/>
      <c r="B237" s="5"/>
    </row>
    <row r="238">
      <c r="A238" s="5"/>
      <c r="B238" s="5"/>
    </row>
    <row r="239">
      <c r="A239" s="5"/>
      <c r="B239" s="5"/>
    </row>
    <row r="240">
      <c r="A240" s="5"/>
      <c r="B240" s="5"/>
    </row>
    <row r="241">
      <c r="A241" s="5"/>
      <c r="B241" s="5"/>
    </row>
    <row r="242">
      <c r="A242" s="5"/>
      <c r="B242" s="5"/>
    </row>
    <row r="243">
      <c r="A243" s="5"/>
      <c r="B243" s="5"/>
    </row>
    <row r="244">
      <c r="A244" s="5"/>
      <c r="B244" s="5"/>
    </row>
    <row r="245">
      <c r="A245" s="5"/>
      <c r="B245" s="5"/>
    </row>
    <row r="246">
      <c r="A246" s="5"/>
      <c r="B246" s="5"/>
    </row>
    <row r="247">
      <c r="A247" s="5"/>
      <c r="B247" s="5"/>
    </row>
    <row r="248">
      <c r="A248" s="5"/>
      <c r="B248" s="5"/>
    </row>
    <row r="249">
      <c r="A249" s="5"/>
      <c r="B249" s="5"/>
    </row>
    <row r="250">
      <c r="A250" s="5"/>
      <c r="B250" s="5"/>
    </row>
    <row r="251">
      <c r="A251" s="5"/>
      <c r="B251" s="5"/>
    </row>
    <row r="252">
      <c r="A252" s="5"/>
      <c r="B252" s="5"/>
    </row>
    <row r="253">
      <c r="A253" s="5"/>
      <c r="B253" s="5"/>
    </row>
    <row r="254">
      <c r="A254" s="5"/>
      <c r="B254" s="5"/>
    </row>
    <row r="255">
      <c r="A255" s="5"/>
      <c r="B255" s="5"/>
    </row>
    <row r="256">
      <c r="A256" s="5"/>
      <c r="B256" s="5"/>
    </row>
    <row r="257">
      <c r="A257" s="5"/>
      <c r="B257" s="5"/>
    </row>
    <row r="258">
      <c r="A258" s="5"/>
      <c r="B258" s="5"/>
    </row>
    <row r="259">
      <c r="A259" s="5"/>
      <c r="B259" s="5"/>
    </row>
    <row r="260">
      <c r="A260" s="5"/>
      <c r="B260" s="5"/>
    </row>
    <row r="261">
      <c r="A261" s="5"/>
      <c r="B261" s="5"/>
    </row>
    <row r="262">
      <c r="A262" s="5"/>
      <c r="B262" s="5"/>
    </row>
    <row r="263">
      <c r="A263" s="5"/>
      <c r="B263" s="5"/>
    </row>
    <row r="264">
      <c r="A264" s="5"/>
      <c r="B264" s="5"/>
    </row>
    <row r="265">
      <c r="A265" s="5"/>
      <c r="B265" s="5"/>
    </row>
    <row r="266">
      <c r="A266" s="5"/>
      <c r="B266" s="5"/>
    </row>
    <row r="267">
      <c r="A267" s="5"/>
      <c r="B267" s="5"/>
    </row>
    <row r="268">
      <c r="A268" s="5"/>
      <c r="B268" s="5"/>
    </row>
    <row r="269">
      <c r="A269" s="5"/>
      <c r="B269" s="5"/>
    </row>
    <row r="270">
      <c r="A270" s="5"/>
      <c r="B270" s="5"/>
    </row>
    <row r="271">
      <c r="A271" s="5"/>
      <c r="B271" s="5"/>
    </row>
    <row r="272">
      <c r="A272" s="5"/>
      <c r="B272" s="5"/>
    </row>
    <row r="273">
      <c r="A273" s="5"/>
      <c r="B273" s="5"/>
    </row>
    <row r="274">
      <c r="A274" s="5"/>
      <c r="B274" s="5"/>
    </row>
    <row r="275">
      <c r="A275" s="5"/>
      <c r="B275" s="5"/>
    </row>
    <row r="276">
      <c r="A276" s="5"/>
      <c r="B276" s="5"/>
    </row>
    <row r="277">
      <c r="A277" s="5"/>
      <c r="B277" s="5"/>
    </row>
    <row r="278">
      <c r="A278" s="5"/>
      <c r="B278" s="5"/>
    </row>
    <row r="279">
      <c r="A279" s="5"/>
      <c r="B279" s="5"/>
    </row>
    <row r="280">
      <c r="A280" s="5"/>
      <c r="B280" s="5"/>
    </row>
    <row r="281">
      <c r="A281" s="5"/>
      <c r="B281" s="5"/>
    </row>
    <row r="282">
      <c r="A282" s="5"/>
      <c r="B282" s="5"/>
    </row>
    <row r="283">
      <c r="A283" s="5"/>
      <c r="B283" s="5"/>
    </row>
    <row r="284">
      <c r="A284" s="5"/>
      <c r="B284" s="5"/>
    </row>
    <row r="285">
      <c r="A285" s="5"/>
      <c r="B285" s="5"/>
    </row>
    <row r="286">
      <c r="A286" s="5"/>
      <c r="B286" s="5"/>
    </row>
    <row r="287">
      <c r="A287" s="5"/>
      <c r="B287" s="5"/>
    </row>
    <row r="288">
      <c r="A288" s="5"/>
      <c r="B288" s="5"/>
    </row>
    <row r="289">
      <c r="A289" s="5"/>
      <c r="B289" s="5"/>
    </row>
    <row r="290">
      <c r="A290" s="5"/>
      <c r="B290" s="5"/>
    </row>
    <row r="291">
      <c r="A291" s="5"/>
      <c r="B291" s="5"/>
    </row>
    <row r="292">
      <c r="A292" s="5"/>
      <c r="B292" s="5"/>
    </row>
    <row r="293">
      <c r="A293" s="5"/>
      <c r="B293" s="5"/>
    </row>
    <row r="294">
      <c r="A294" s="5"/>
      <c r="B294" s="5"/>
    </row>
    <row r="295">
      <c r="A295" s="5"/>
      <c r="B295" s="5"/>
    </row>
    <row r="296">
      <c r="A296" s="5"/>
      <c r="B296" s="5"/>
    </row>
    <row r="297">
      <c r="A297" s="5"/>
      <c r="B297" s="5"/>
    </row>
    <row r="298">
      <c r="A298" s="5"/>
      <c r="B298" s="5"/>
    </row>
    <row r="299">
      <c r="A299" s="5"/>
      <c r="B299" s="5"/>
    </row>
    <row r="300">
      <c r="A300" s="5"/>
      <c r="B300" s="5"/>
    </row>
    <row r="301">
      <c r="A301" s="5"/>
      <c r="B301" s="5"/>
    </row>
    <row r="302">
      <c r="A302" s="5"/>
      <c r="B302" s="5"/>
    </row>
    <row r="303">
      <c r="A303" s="5"/>
      <c r="B303" s="5"/>
    </row>
    <row r="304">
      <c r="A304" s="5"/>
      <c r="B304" s="5"/>
    </row>
    <row r="305">
      <c r="A305" s="5"/>
      <c r="B305" s="5"/>
    </row>
    <row r="306">
      <c r="A306" s="5"/>
      <c r="B306" s="5"/>
    </row>
    <row r="307">
      <c r="A307" s="5"/>
      <c r="B307" s="5"/>
    </row>
    <row r="308">
      <c r="A308" s="5"/>
      <c r="B308" s="5"/>
    </row>
    <row r="309">
      <c r="A309" s="5"/>
      <c r="B309" s="5"/>
    </row>
    <row r="310">
      <c r="A310" s="5"/>
      <c r="B310" s="5"/>
    </row>
    <row r="311">
      <c r="A311" s="5"/>
      <c r="B311" s="5"/>
    </row>
    <row r="312">
      <c r="A312" s="5"/>
      <c r="B312" s="5"/>
    </row>
    <row r="313">
      <c r="A313" s="5"/>
      <c r="B313" s="5"/>
    </row>
    <row r="314">
      <c r="A314" s="5"/>
      <c r="B314" s="5"/>
    </row>
    <row r="315">
      <c r="A315" s="5"/>
      <c r="B315" s="5"/>
    </row>
    <row r="316">
      <c r="A316" s="5"/>
      <c r="B316" s="5"/>
    </row>
    <row r="317">
      <c r="A317" s="5"/>
      <c r="B317" s="5"/>
    </row>
    <row r="318">
      <c r="A318" s="5"/>
      <c r="B318" s="5"/>
    </row>
    <row r="319">
      <c r="A319" s="5"/>
      <c r="B319" s="5"/>
    </row>
    <row r="320">
      <c r="A320" s="5"/>
      <c r="B320" s="5"/>
    </row>
    <row r="321">
      <c r="A321" s="5"/>
      <c r="B321" s="5"/>
    </row>
    <row r="322">
      <c r="A322" s="5"/>
      <c r="B322" s="5"/>
    </row>
    <row r="323">
      <c r="A323" s="5"/>
      <c r="B323" s="5"/>
    </row>
    <row r="324">
      <c r="A324" s="5"/>
      <c r="B324" s="5"/>
    </row>
    <row r="325">
      <c r="A325" s="5"/>
      <c r="B325" s="5"/>
    </row>
    <row r="326">
      <c r="A326" s="5"/>
      <c r="B326" s="5"/>
    </row>
    <row r="327">
      <c r="A327" s="5"/>
      <c r="B327" s="5"/>
    </row>
    <row r="328">
      <c r="A328" s="5"/>
      <c r="B328" s="5"/>
    </row>
    <row r="329">
      <c r="A329" s="5"/>
      <c r="B329" s="5"/>
    </row>
    <row r="330">
      <c r="A330" s="5"/>
      <c r="B330" s="5"/>
    </row>
    <row r="331">
      <c r="A331" s="5"/>
      <c r="B331" s="5"/>
    </row>
    <row r="332">
      <c r="A332" s="5"/>
      <c r="B332" s="5"/>
    </row>
    <row r="333">
      <c r="A333" s="5"/>
      <c r="B333" s="5"/>
    </row>
    <row r="334">
      <c r="A334" s="5"/>
      <c r="B334" s="5"/>
    </row>
    <row r="335">
      <c r="A335" s="5"/>
      <c r="B335" s="5"/>
    </row>
    <row r="336">
      <c r="A336" s="5"/>
      <c r="B336" s="5"/>
    </row>
    <row r="337">
      <c r="A337" s="5"/>
      <c r="B337" s="5"/>
    </row>
    <row r="338">
      <c r="A338" s="5"/>
      <c r="B338" s="5"/>
    </row>
    <row r="339">
      <c r="A339" s="5"/>
      <c r="B339" s="5"/>
    </row>
    <row r="340">
      <c r="A340" s="5"/>
      <c r="B340" s="5"/>
    </row>
    <row r="341">
      <c r="A341" s="5"/>
      <c r="B341" s="5"/>
    </row>
    <row r="342">
      <c r="A342" s="5"/>
      <c r="B342" s="5"/>
    </row>
    <row r="343">
      <c r="A343" s="5"/>
      <c r="B343" s="5"/>
    </row>
    <row r="344">
      <c r="A344" s="5"/>
      <c r="B344" s="5"/>
    </row>
    <row r="345">
      <c r="A345" s="5"/>
      <c r="B345" s="5"/>
    </row>
    <row r="346">
      <c r="A346" s="5"/>
      <c r="B346" s="5"/>
    </row>
    <row r="347">
      <c r="A347" s="5"/>
      <c r="B347" s="5"/>
    </row>
    <row r="348">
      <c r="A348" s="5"/>
      <c r="B348" s="5"/>
    </row>
    <row r="349">
      <c r="A349" s="5"/>
      <c r="B349" s="5"/>
    </row>
    <row r="350">
      <c r="A350" s="5"/>
      <c r="B350" s="5"/>
    </row>
    <row r="351">
      <c r="A351" s="5"/>
      <c r="B351" s="5"/>
    </row>
    <row r="352">
      <c r="A352" s="5"/>
      <c r="B352" s="5"/>
    </row>
    <row r="353">
      <c r="A353" s="5"/>
      <c r="B353" s="5"/>
    </row>
    <row r="354">
      <c r="A354" s="5"/>
      <c r="B354" s="5"/>
    </row>
    <row r="355">
      <c r="A355" s="5"/>
      <c r="B355" s="5"/>
    </row>
    <row r="356">
      <c r="A356" s="5"/>
      <c r="B356" s="5"/>
    </row>
    <row r="357">
      <c r="A357" s="5"/>
      <c r="B357" s="5"/>
    </row>
    <row r="358">
      <c r="A358" s="5"/>
      <c r="B358" s="5"/>
    </row>
    <row r="359">
      <c r="A359" s="5"/>
      <c r="B359" s="5"/>
    </row>
    <row r="360">
      <c r="A360" s="5"/>
      <c r="B360" s="5"/>
    </row>
    <row r="361">
      <c r="A361" s="5"/>
      <c r="B361" s="5"/>
    </row>
    <row r="362">
      <c r="A362" s="5"/>
      <c r="B362" s="5"/>
    </row>
    <row r="363">
      <c r="A363" s="5"/>
      <c r="B363" s="5"/>
    </row>
    <row r="364">
      <c r="A364" s="5"/>
      <c r="B364" s="5"/>
    </row>
    <row r="365">
      <c r="A365" s="5"/>
      <c r="B365" s="5"/>
    </row>
    <row r="366">
      <c r="A366" s="5"/>
      <c r="B366" s="5"/>
    </row>
    <row r="367">
      <c r="A367" s="5"/>
      <c r="B367" s="5"/>
    </row>
    <row r="368">
      <c r="A368" s="5"/>
      <c r="B368" s="5"/>
    </row>
    <row r="369">
      <c r="A369" s="5"/>
      <c r="B369" s="5"/>
    </row>
    <row r="370">
      <c r="A370" s="5"/>
      <c r="B370" s="5"/>
    </row>
    <row r="371">
      <c r="A371" s="5"/>
      <c r="B371" s="5"/>
    </row>
    <row r="372">
      <c r="A372" s="5"/>
      <c r="B372" s="5"/>
    </row>
    <row r="373">
      <c r="A373" s="5"/>
      <c r="B373" s="5"/>
    </row>
    <row r="374">
      <c r="A374" s="5"/>
      <c r="B374" s="5"/>
    </row>
    <row r="375">
      <c r="A375" s="5"/>
      <c r="B375" s="5"/>
    </row>
    <row r="376">
      <c r="A376" s="5"/>
      <c r="B376" s="5"/>
    </row>
    <row r="377">
      <c r="A377" s="5"/>
      <c r="B377" s="5"/>
    </row>
    <row r="378">
      <c r="A378" s="5"/>
      <c r="B378" s="5"/>
    </row>
    <row r="379">
      <c r="A379" s="5"/>
      <c r="B379" s="5"/>
    </row>
    <row r="380">
      <c r="A380" s="5"/>
      <c r="B380" s="5"/>
    </row>
    <row r="381">
      <c r="A381" s="5"/>
      <c r="B381" s="5"/>
    </row>
    <row r="382">
      <c r="A382" s="5"/>
      <c r="B382" s="5"/>
    </row>
    <row r="383">
      <c r="A383" s="5"/>
      <c r="B383" s="5"/>
    </row>
    <row r="384">
      <c r="A384" s="5"/>
      <c r="B384" s="5"/>
    </row>
    <row r="385">
      <c r="A385" s="5"/>
      <c r="B385" s="5"/>
    </row>
    <row r="386">
      <c r="A386" s="5"/>
      <c r="B386" s="5"/>
    </row>
    <row r="387">
      <c r="A387" s="5"/>
      <c r="B387" s="5"/>
    </row>
    <row r="388">
      <c r="A388" s="5"/>
      <c r="B388" s="5"/>
    </row>
    <row r="389">
      <c r="A389" s="5"/>
      <c r="B389" s="5"/>
    </row>
    <row r="390">
      <c r="A390" s="5"/>
      <c r="B390" s="5"/>
    </row>
    <row r="391">
      <c r="A391" s="5"/>
      <c r="B391" s="5"/>
    </row>
    <row r="392">
      <c r="A392" s="5"/>
      <c r="B392" s="5"/>
    </row>
    <row r="393">
      <c r="A393" s="5"/>
      <c r="B393" s="5"/>
    </row>
    <row r="394">
      <c r="A394" s="5"/>
      <c r="B394" s="5"/>
    </row>
    <row r="395">
      <c r="A395" s="5"/>
      <c r="B395" s="5"/>
    </row>
    <row r="396">
      <c r="A396" s="5"/>
      <c r="B396" s="5"/>
    </row>
    <row r="397">
      <c r="A397" s="5"/>
      <c r="B397" s="5"/>
    </row>
    <row r="398">
      <c r="A398" s="5"/>
      <c r="B398" s="5"/>
    </row>
    <row r="399">
      <c r="A399" s="5"/>
      <c r="B399" s="5"/>
    </row>
    <row r="400">
      <c r="A400" s="5"/>
      <c r="B400" s="5"/>
    </row>
    <row r="401">
      <c r="A401" s="5"/>
      <c r="B401" s="5"/>
    </row>
    <row r="402">
      <c r="A402" s="5"/>
      <c r="B402" s="5"/>
    </row>
    <row r="403">
      <c r="A403" s="5"/>
      <c r="B403" s="5"/>
    </row>
    <row r="404">
      <c r="A404" s="5"/>
      <c r="B404" s="5"/>
    </row>
    <row r="405">
      <c r="A405" s="5"/>
      <c r="B405" s="5"/>
    </row>
    <row r="406">
      <c r="A406" s="5"/>
      <c r="B406" s="5"/>
    </row>
    <row r="407">
      <c r="A407" s="5"/>
      <c r="B407" s="5"/>
    </row>
    <row r="408">
      <c r="A408" s="5"/>
      <c r="B408" s="5"/>
    </row>
    <row r="409">
      <c r="A409" s="5"/>
      <c r="B409" s="5"/>
    </row>
    <row r="410">
      <c r="A410" s="5"/>
      <c r="B410" s="5"/>
    </row>
    <row r="411">
      <c r="A411" s="5"/>
      <c r="B411" s="5"/>
    </row>
    <row r="412">
      <c r="A412" s="5"/>
      <c r="B412" s="5"/>
    </row>
    <row r="413">
      <c r="A413" s="5"/>
      <c r="B413" s="5"/>
    </row>
    <row r="414">
      <c r="A414" s="5"/>
      <c r="B414" s="5"/>
    </row>
    <row r="415">
      <c r="A415" s="5"/>
      <c r="B415" s="5"/>
    </row>
    <row r="416">
      <c r="A416" s="5"/>
      <c r="B416" s="5"/>
    </row>
    <row r="417">
      <c r="A417" s="5"/>
      <c r="B417" s="5"/>
    </row>
    <row r="418">
      <c r="A418" s="5"/>
      <c r="B418" s="5"/>
    </row>
    <row r="419">
      <c r="A419" s="5"/>
      <c r="B419" s="5"/>
    </row>
    <row r="420">
      <c r="A420" s="5"/>
      <c r="B420" s="5"/>
    </row>
    <row r="421">
      <c r="A421" s="5"/>
      <c r="B421" s="5"/>
    </row>
    <row r="422">
      <c r="A422" s="5"/>
      <c r="B422" s="5"/>
    </row>
    <row r="423">
      <c r="A423" s="5"/>
      <c r="B423" s="5"/>
    </row>
    <row r="424">
      <c r="A424" s="5"/>
      <c r="B424" s="5"/>
    </row>
    <row r="425">
      <c r="A425" s="5"/>
      <c r="B425" s="5"/>
    </row>
    <row r="426">
      <c r="A426" s="5"/>
      <c r="B426" s="5"/>
    </row>
    <row r="427">
      <c r="A427" s="5"/>
      <c r="B427" s="5"/>
    </row>
    <row r="428">
      <c r="A428" s="5"/>
      <c r="B428" s="5"/>
    </row>
    <row r="429">
      <c r="A429" s="5"/>
      <c r="B429" s="5"/>
    </row>
    <row r="430">
      <c r="A430" s="5"/>
      <c r="B430" s="5"/>
    </row>
    <row r="431">
      <c r="A431" s="5"/>
      <c r="B431" s="5"/>
    </row>
    <row r="432">
      <c r="A432" s="5"/>
      <c r="B432" s="5"/>
    </row>
    <row r="433">
      <c r="A433" s="5"/>
      <c r="B433" s="5"/>
    </row>
    <row r="434">
      <c r="A434" s="5"/>
      <c r="B434" s="5"/>
    </row>
    <row r="435">
      <c r="A435" s="5"/>
      <c r="B435" s="5"/>
    </row>
    <row r="436">
      <c r="A436" s="5"/>
      <c r="B436" s="5"/>
    </row>
    <row r="437">
      <c r="A437" s="5"/>
      <c r="B437" s="5"/>
    </row>
    <row r="438">
      <c r="A438" s="5"/>
      <c r="B438" s="5"/>
    </row>
    <row r="439">
      <c r="A439" s="5"/>
      <c r="B439" s="5"/>
    </row>
    <row r="440">
      <c r="A440" s="5"/>
      <c r="B440" s="5"/>
    </row>
    <row r="441">
      <c r="A441" s="5"/>
      <c r="B441" s="5"/>
    </row>
    <row r="442">
      <c r="A442" s="5"/>
      <c r="B442" s="5"/>
    </row>
    <row r="443">
      <c r="A443" s="5"/>
      <c r="B443" s="5"/>
    </row>
    <row r="444">
      <c r="A444" s="5"/>
      <c r="B444" s="5"/>
    </row>
    <row r="445">
      <c r="A445" s="5"/>
      <c r="B445" s="5"/>
    </row>
    <row r="446">
      <c r="A446" s="5"/>
      <c r="B446" s="5"/>
    </row>
    <row r="447">
      <c r="A447" s="5"/>
      <c r="B447" s="5"/>
    </row>
    <row r="448">
      <c r="A448" s="5"/>
      <c r="B448" s="5"/>
    </row>
    <row r="449">
      <c r="A449" s="5"/>
      <c r="B449" s="5"/>
    </row>
    <row r="450">
      <c r="A450" s="5"/>
      <c r="B450" s="5"/>
    </row>
    <row r="451">
      <c r="A451" s="5"/>
      <c r="B451" s="5"/>
    </row>
    <row r="452">
      <c r="A452" s="5"/>
      <c r="B452" s="5"/>
    </row>
    <row r="453">
      <c r="A453" s="5"/>
      <c r="B453" s="5"/>
    </row>
    <row r="454">
      <c r="A454" s="5"/>
      <c r="B454" s="5"/>
    </row>
    <row r="455">
      <c r="A455" s="5"/>
      <c r="B455" s="5"/>
    </row>
    <row r="456">
      <c r="A456" s="5"/>
      <c r="B456" s="5"/>
    </row>
    <row r="457">
      <c r="A457" s="5"/>
      <c r="B457" s="5"/>
    </row>
    <row r="458">
      <c r="A458" s="5"/>
      <c r="B458" s="5"/>
    </row>
    <row r="459">
      <c r="A459" s="5"/>
      <c r="B459" s="5"/>
    </row>
    <row r="460">
      <c r="A460" s="5"/>
      <c r="B460" s="5"/>
    </row>
    <row r="461">
      <c r="A461" s="5"/>
      <c r="B461" s="5"/>
    </row>
    <row r="462">
      <c r="A462" s="5"/>
      <c r="B462" s="5"/>
    </row>
    <row r="463">
      <c r="A463" s="5"/>
      <c r="B463" s="5"/>
    </row>
    <row r="464">
      <c r="A464" s="5"/>
      <c r="B464" s="5"/>
    </row>
    <row r="465">
      <c r="A465" s="5"/>
      <c r="B465" s="5"/>
    </row>
    <row r="466">
      <c r="A466" s="5"/>
      <c r="B466" s="5"/>
    </row>
    <row r="467">
      <c r="A467" s="5"/>
      <c r="B467" s="5"/>
    </row>
    <row r="468">
      <c r="A468" s="5"/>
      <c r="B468" s="5"/>
    </row>
    <row r="469">
      <c r="A469" s="5"/>
      <c r="B469" s="5"/>
    </row>
    <row r="470">
      <c r="A470" s="5"/>
      <c r="B470" s="5"/>
    </row>
    <row r="471">
      <c r="A471" s="5"/>
      <c r="B471" s="5"/>
    </row>
    <row r="472">
      <c r="A472" s="5"/>
      <c r="B472" s="5"/>
    </row>
    <row r="473">
      <c r="A473" s="5"/>
      <c r="B473" s="5"/>
    </row>
    <row r="474">
      <c r="A474" s="5"/>
      <c r="B474" s="5"/>
    </row>
    <row r="475">
      <c r="A475" s="5"/>
      <c r="B475" s="5"/>
    </row>
    <row r="476">
      <c r="A476" s="5"/>
      <c r="B476" s="5"/>
    </row>
    <row r="477">
      <c r="A477" s="5"/>
      <c r="B477" s="5"/>
    </row>
    <row r="478">
      <c r="A478" s="5"/>
      <c r="B478" s="5"/>
    </row>
    <row r="479">
      <c r="A479" s="5"/>
      <c r="B479" s="5"/>
    </row>
    <row r="480">
      <c r="A480" s="5"/>
      <c r="B480" s="5"/>
    </row>
    <row r="481">
      <c r="A481" s="5"/>
      <c r="B481" s="5"/>
    </row>
    <row r="482">
      <c r="A482" s="5"/>
      <c r="B482" s="5"/>
    </row>
    <row r="483">
      <c r="A483" s="5"/>
      <c r="B483" s="5"/>
    </row>
    <row r="484">
      <c r="A484" s="5"/>
      <c r="B484" s="5"/>
    </row>
    <row r="485">
      <c r="A485" s="5"/>
      <c r="B485" s="5"/>
    </row>
    <row r="486">
      <c r="A486" s="5"/>
      <c r="B486" s="5"/>
    </row>
    <row r="487">
      <c r="A487" s="5"/>
      <c r="B487" s="5"/>
    </row>
    <row r="488">
      <c r="A488" s="5"/>
      <c r="B488" s="5"/>
    </row>
    <row r="489">
      <c r="A489" s="5"/>
      <c r="B489" s="5"/>
    </row>
    <row r="490">
      <c r="A490" s="5"/>
      <c r="B490" s="5"/>
    </row>
    <row r="491">
      <c r="A491" s="5"/>
      <c r="B491" s="5"/>
    </row>
    <row r="492">
      <c r="A492" s="5"/>
      <c r="B492" s="5"/>
    </row>
    <row r="493">
      <c r="A493" s="5"/>
      <c r="B493" s="5"/>
    </row>
    <row r="494">
      <c r="A494" s="5"/>
      <c r="B494" s="5"/>
    </row>
    <row r="495">
      <c r="A495" s="5"/>
      <c r="B495" s="5"/>
    </row>
    <row r="496">
      <c r="A496" s="5"/>
      <c r="B496" s="5"/>
    </row>
    <row r="497">
      <c r="A497" s="5"/>
      <c r="B497" s="5"/>
    </row>
    <row r="498">
      <c r="A498" s="5"/>
      <c r="B498" s="5"/>
    </row>
    <row r="499">
      <c r="A499" s="5"/>
      <c r="B499" s="5"/>
    </row>
    <row r="500">
      <c r="A500" s="5"/>
      <c r="B500" s="5"/>
    </row>
    <row r="501">
      <c r="A501" s="5"/>
      <c r="B501" s="5"/>
    </row>
    <row r="502">
      <c r="A502" s="5"/>
      <c r="B502" s="5"/>
    </row>
    <row r="503">
      <c r="A503" s="5"/>
      <c r="B503" s="5"/>
    </row>
    <row r="504">
      <c r="A504" s="5"/>
      <c r="B504" s="5"/>
    </row>
    <row r="505">
      <c r="A505" s="5"/>
      <c r="B505" s="5"/>
    </row>
    <row r="506">
      <c r="A506" s="5"/>
      <c r="B506" s="5"/>
    </row>
    <row r="507">
      <c r="A507" s="5"/>
      <c r="B507" s="5"/>
    </row>
    <row r="508">
      <c r="A508" s="5"/>
      <c r="B508" s="5"/>
    </row>
    <row r="509">
      <c r="A509" s="5"/>
      <c r="B509" s="5"/>
    </row>
    <row r="510">
      <c r="A510" s="5"/>
      <c r="B510" s="5"/>
    </row>
    <row r="511">
      <c r="A511" s="5"/>
      <c r="B511" s="5"/>
    </row>
    <row r="512">
      <c r="A512" s="5"/>
      <c r="B512" s="5"/>
    </row>
    <row r="513">
      <c r="A513" s="5"/>
      <c r="B513" s="5"/>
    </row>
    <row r="514">
      <c r="A514" s="5"/>
      <c r="B514" s="5"/>
    </row>
    <row r="515">
      <c r="A515" s="5"/>
      <c r="B515" s="5"/>
    </row>
    <row r="516">
      <c r="A516" s="5"/>
      <c r="B516" s="5"/>
    </row>
    <row r="517">
      <c r="A517" s="5"/>
      <c r="B517" s="5"/>
    </row>
    <row r="518">
      <c r="A518" s="5"/>
      <c r="B518" s="5"/>
    </row>
    <row r="519">
      <c r="A519" s="5"/>
      <c r="B519" s="5"/>
    </row>
    <row r="520">
      <c r="A520" s="5"/>
      <c r="B520" s="5"/>
    </row>
    <row r="521">
      <c r="A521" s="5"/>
      <c r="B521" s="5"/>
    </row>
    <row r="522">
      <c r="A522" s="5"/>
      <c r="B522" s="5"/>
    </row>
    <row r="523">
      <c r="A523" s="5"/>
      <c r="B523" s="5"/>
    </row>
    <row r="524">
      <c r="A524" s="5"/>
      <c r="B524" s="5"/>
    </row>
    <row r="525">
      <c r="A525" s="5"/>
      <c r="B525" s="5"/>
    </row>
    <row r="526">
      <c r="A526" s="5"/>
      <c r="B526" s="5"/>
    </row>
    <row r="527">
      <c r="A527" s="5"/>
      <c r="B527" s="5"/>
    </row>
    <row r="528">
      <c r="A528" s="5"/>
      <c r="B528" s="5"/>
    </row>
    <row r="529">
      <c r="A529" s="5"/>
      <c r="B529" s="5"/>
    </row>
    <row r="530">
      <c r="A530" s="5"/>
      <c r="B530" s="5"/>
    </row>
    <row r="531">
      <c r="A531" s="5"/>
      <c r="B531" s="5"/>
    </row>
    <row r="532">
      <c r="A532" s="5"/>
      <c r="B532" s="5"/>
    </row>
    <row r="533">
      <c r="A533" s="5"/>
      <c r="B533" s="5"/>
    </row>
    <row r="534">
      <c r="A534" s="5"/>
      <c r="B534" s="5"/>
    </row>
    <row r="535">
      <c r="A535" s="5"/>
      <c r="B535" s="5"/>
    </row>
    <row r="536">
      <c r="A536" s="5"/>
      <c r="B536" s="5"/>
    </row>
    <row r="537">
      <c r="A537" s="5"/>
      <c r="B537" s="5"/>
    </row>
    <row r="538">
      <c r="A538" s="5"/>
      <c r="B538" s="5"/>
    </row>
    <row r="539">
      <c r="A539" s="5"/>
      <c r="B539" s="5"/>
    </row>
    <row r="540">
      <c r="A540" s="5"/>
      <c r="B540" s="5"/>
    </row>
    <row r="541">
      <c r="A541" s="5"/>
      <c r="B541" s="5"/>
    </row>
    <row r="542">
      <c r="A542" s="5"/>
      <c r="B542" s="5"/>
    </row>
    <row r="543">
      <c r="A543" s="5"/>
      <c r="B543" s="5"/>
    </row>
    <row r="544">
      <c r="A544" s="5"/>
      <c r="B544" s="5"/>
    </row>
    <row r="545">
      <c r="A545" s="5"/>
      <c r="B545" s="5"/>
    </row>
    <row r="546">
      <c r="A546" s="5"/>
      <c r="B546" s="5"/>
    </row>
    <row r="547">
      <c r="A547" s="5"/>
      <c r="B547" s="5"/>
    </row>
    <row r="548">
      <c r="A548" s="5"/>
      <c r="B548" s="5"/>
    </row>
    <row r="549">
      <c r="A549" s="5"/>
      <c r="B549" s="5"/>
    </row>
    <row r="550">
      <c r="A550" s="5"/>
      <c r="B550" s="5"/>
    </row>
    <row r="551">
      <c r="A551" s="5"/>
      <c r="B551" s="5"/>
    </row>
    <row r="552">
      <c r="A552" s="5"/>
      <c r="B552" s="5"/>
    </row>
    <row r="553">
      <c r="A553" s="5"/>
      <c r="B553" s="5"/>
    </row>
    <row r="554">
      <c r="A554" s="5"/>
      <c r="B554" s="5"/>
    </row>
    <row r="555">
      <c r="A555" s="5"/>
      <c r="B555" s="5"/>
    </row>
    <row r="556">
      <c r="A556" s="5"/>
      <c r="B556" s="5"/>
    </row>
    <row r="557">
      <c r="A557" s="5"/>
      <c r="B557" s="5"/>
    </row>
    <row r="558">
      <c r="A558" s="5"/>
      <c r="B558" s="5"/>
    </row>
    <row r="559">
      <c r="A559" s="5"/>
      <c r="B559" s="5"/>
    </row>
    <row r="560">
      <c r="A560" s="5"/>
      <c r="B560" s="5"/>
    </row>
    <row r="561">
      <c r="A561" s="5"/>
      <c r="B561" s="5"/>
    </row>
    <row r="562">
      <c r="A562" s="5"/>
      <c r="B562" s="5"/>
    </row>
    <row r="563">
      <c r="A563" s="5"/>
      <c r="B563" s="5"/>
    </row>
    <row r="564">
      <c r="A564" s="5"/>
      <c r="B564" s="5"/>
    </row>
    <row r="565">
      <c r="A565" s="5"/>
      <c r="B565" s="5"/>
    </row>
    <row r="566">
      <c r="A566" s="5"/>
      <c r="B566" s="5"/>
    </row>
    <row r="567">
      <c r="A567" s="5"/>
      <c r="B567" s="5"/>
    </row>
    <row r="568">
      <c r="A568" s="5"/>
      <c r="B568" s="5"/>
    </row>
    <row r="569">
      <c r="A569" s="5"/>
      <c r="B569" s="5"/>
    </row>
    <row r="570">
      <c r="A570" s="5"/>
      <c r="B570" s="5"/>
    </row>
    <row r="571">
      <c r="A571" s="5"/>
      <c r="B571" s="5"/>
    </row>
    <row r="572">
      <c r="A572" s="5"/>
      <c r="B572" s="5"/>
    </row>
    <row r="573">
      <c r="A573" s="5"/>
      <c r="B573" s="5"/>
    </row>
    <row r="574">
      <c r="A574" s="5"/>
      <c r="B574" s="5"/>
    </row>
    <row r="575">
      <c r="A575" s="5"/>
      <c r="B575" s="5"/>
    </row>
    <row r="576">
      <c r="A576" s="5"/>
      <c r="B576" s="5"/>
    </row>
    <row r="577">
      <c r="A577" s="5"/>
      <c r="B577" s="5"/>
    </row>
    <row r="578">
      <c r="A578" s="5"/>
      <c r="B578" s="5"/>
    </row>
    <row r="579">
      <c r="A579" s="5"/>
      <c r="B579" s="5"/>
    </row>
    <row r="580">
      <c r="A580" s="5"/>
      <c r="B580" s="5"/>
    </row>
    <row r="581">
      <c r="A581" s="5"/>
      <c r="B581" s="5"/>
    </row>
    <row r="582">
      <c r="A582" s="5"/>
      <c r="B582" s="5"/>
    </row>
    <row r="583">
      <c r="A583" s="5"/>
      <c r="B583" s="5"/>
    </row>
    <row r="584">
      <c r="A584" s="5"/>
      <c r="B584" s="5"/>
    </row>
    <row r="585">
      <c r="A585" s="5"/>
      <c r="B585" s="5"/>
    </row>
    <row r="586">
      <c r="A586" s="5"/>
      <c r="B586" s="5"/>
    </row>
    <row r="587">
      <c r="A587" s="5"/>
      <c r="B587" s="5"/>
    </row>
    <row r="588">
      <c r="A588" s="5"/>
      <c r="B588" s="5"/>
    </row>
    <row r="589">
      <c r="A589" s="5"/>
      <c r="B589" s="5"/>
    </row>
    <row r="590">
      <c r="A590" s="5"/>
      <c r="B590" s="5"/>
    </row>
    <row r="591">
      <c r="A591" s="5"/>
      <c r="B591" s="5"/>
    </row>
    <row r="592">
      <c r="A592" s="5"/>
      <c r="B592" s="5"/>
    </row>
    <row r="593">
      <c r="A593" s="5"/>
      <c r="B593" s="5"/>
    </row>
    <row r="594">
      <c r="A594" s="5"/>
      <c r="B594" s="5"/>
    </row>
    <row r="595">
      <c r="A595" s="5"/>
      <c r="B595" s="5"/>
    </row>
    <row r="596">
      <c r="A596" s="5"/>
      <c r="B596" s="5"/>
    </row>
    <row r="597">
      <c r="A597" s="5"/>
      <c r="B597" s="5"/>
    </row>
    <row r="598">
      <c r="A598" s="5"/>
      <c r="B598" s="5"/>
    </row>
    <row r="599">
      <c r="A599" s="5"/>
      <c r="B599" s="5"/>
    </row>
    <row r="600">
      <c r="A600" s="5"/>
      <c r="B600" s="5"/>
    </row>
    <row r="601">
      <c r="A601" s="5"/>
      <c r="B601" s="5"/>
    </row>
    <row r="602">
      <c r="A602" s="5"/>
      <c r="B602" s="5"/>
    </row>
    <row r="603">
      <c r="A603" s="5"/>
      <c r="B603" s="5"/>
    </row>
    <row r="604">
      <c r="A604" s="5"/>
      <c r="B604" s="5"/>
    </row>
    <row r="605">
      <c r="A605" s="5"/>
      <c r="B605" s="5"/>
    </row>
    <row r="606">
      <c r="A606" s="5"/>
      <c r="B606" s="5"/>
    </row>
    <row r="607">
      <c r="A607" s="5"/>
      <c r="B607" s="5"/>
    </row>
    <row r="608">
      <c r="A608" s="5"/>
      <c r="B608" s="5"/>
    </row>
    <row r="609">
      <c r="A609" s="5"/>
      <c r="B609" s="5"/>
    </row>
    <row r="610">
      <c r="A610" s="5"/>
      <c r="B610" s="5"/>
    </row>
    <row r="611">
      <c r="A611" s="5"/>
      <c r="B611" s="5"/>
    </row>
    <row r="612">
      <c r="A612" s="5"/>
      <c r="B612" s="5"/>
    </row>
    <row r="613">
      <c r="A613" s="5"/>
      <c r="B613" s="5"/>
    </row>
    <row r="614">
      <c r="A614" s="5"/>
      <c r="B614" s="5"/>
    </row>
    <row r="615">
      <c r="A615" s="5"/>
      <c r="B615" s="5"/>
    </row>
    <row r="616">
      <c r="A616" s="5"/>
      <c r="B616" s="5"/>
    </row>
    <row r="617">
      <c r="A617" s="5"/>
      <c r="B617" s="5"/>
    </row>
    <row r="618">
      <c r="A618" s="5"/>
      <c r="B618" s="5"/>
    </row>
    <row r="619">
      <c r="A619" s="5"/>
      <c r="B619" s="5"/>
    </row>
    <row r="620">
      <c r="A620" s="5"/>
      <c r="B620" s="5"/>
    </row>
    <row r="621">
      <c r="A621" s="5"/>
      <c r="B621" s="5"/>
    </row>
    <row r="622">
      <c r="A622" s="5"/>
      <c r="B622" s="5"/>
    </row>
    <row r="623">
      <c r="A623" s="5"/>
      <c r="B623" s="5"/>
    </row>
    <row r="624">
      <c r="A624" s="5"/>
      <c r="B624" s="5"/>
    </row>
    <row r="625">
      <c r="A625" s="5"/>
      <c r="B625" s="5"/>
    </row>
    <row r="626">
      <c r="A626" s="5"/>
      <c r="B626" s="5"/>
    </row>
    <row r="627">
      <c r="A627" s="5"/>
      <c r="B627" s="5"/>
    </row>
    <row r="628">
      <c r="A628" s="5"/>
      <c r="B628" s="5"/>
    </row>
    <row r="629">
      <c r="A629" s="5"/>
      <c r="B629" s="5"/>
    </row>
    <row r="630">
      <c r="A630" s="5"/>
      <c r="B630" s="5"/>
    </row>
    <row r="631">
      <c r="A631" s="5"/>
      <c r="B631" s="5"/>
    </row>
    <row r="632">
      <c r="A632" s="5"/>
      <c r="B632" s="5"/>
    </row>
    <row r="633">
      <c r="A633" s="5"/>
      <c r="B633" s="5"/>
    </row>
    <row r="634">
      <c r="A634" s="5"/>
      <c r="B634" s="5"/>
    </row>
    <row r="635">
      <c r="A635" s="5"/>
      <c r="B635" s="5"/>
    </row>
    <row r="636">
      <c r="A636" s="5"/>
      <c r="B636" s="5"/>
    </row>
    <row r="637">
      <c r="A637" s="5"/>
      <c r="B637" s="5"/>
    </row>
    <row r="638">
      <c r="A638" s="5"/>
      <c r="B638" s="5"/>
    </row>
    <row r="639">
      <c r="A639" s="5"/>
      <c r="B639" s="5"/>
    </row>
    <row r="640">
      <c r="A640" s="5"/>
      <c r="B640" s="5"/>
    </row>
    <row r="641">
      <c r="A641" s="5"/>
      <c r="B641" s="5"/>
    </row>
    <row r="642">
      <c r="A642" s="5"/>
      <c r="B642" s="5"/>
    </row>
    <row r="643">
      <c r="A643" s="5"/>
      <c r="B643" s="5"/>
    </row>
    <row r="644">
      <c r="A644" s="5"/>
      <c r="B644" s="5"/>
    </row>
    <row r="645">
      <c r="A645" s="5"/>
      <c r="B645" s="5"/>
    </row>
    <row r="646">
      <c r="A646" s="5"/>
      <c r="B646" s="5"/>
    </row>
    <row r="647">
      <c r="A647" s="5"/>
      <c r="B647" s="5"/>
    </row>
    <row r="648">
      <c r="A648" s="5"/>
      <c r="B648" s="5"/>
    </row>
    <row r="649">
      <c r="A649" s="5"/>
      <c r="B649" s="5"/>
    </row>
    <row r="650">
      <c r="A650" s="5"/>
      <c r="B650" s="5"/>
    </row>
    <row r="651">
      <c r="A651" s="5"/>
      <c r="B651" s="5"/>
    </row>
    <row r="652">
      <c r="A652" s="5"/>
      <c r="B652" s="5"/>
    </row>
    <row r="653">
      <c r="A653" s="5"/>
      <c r="B653" s="5"/>
    </row>
    <row r="654">
      <c r="A654" s="5"/>
      <c r="B654" s="5"/>
    </row>
    <row r="655">
      <c r="A655" s="5"/>
      <c r="B655" s="5"/>
    </row>
    <row r="656">
      <c r="A656" s="5"/>
      <c r="B656" s="5"/>
    </row>
    <row r="657">
      <c r="A657" s="5"/>
      <c r="B657" s="5"/>
    </row>
    <row r="658">
      <c r="A658" s="5"/>
      <c r="B658" s="5"/>
    </row>
    <row r="659">
      <c r="A659" s="5"/>
      <c r="B659" s="5"/>
    </row>
    <row r="660">
      <c r="A660" s="5"/>
      <c r="B660" s="5"/>
    </row>
    <row r="661">
      <c r="A661" s="5"/>
      <c r="B661" s="5"/>
    </row>
    <row r="662">
      <c r="A662" s="5"/>
      <c r="B662" s="5"/>
    </row>
    <row r="663">
      <c r="A663" s="5"/>
      <c r="B663" s="5"/>
    </row>
    <row r="664">
      <c r="A664" s="5"/>
      <c r="B664" s="5"/>
    </row>
    <row r="665">
      <c r="A665" s="5"/>
      <c r="B665" s="5"/>
    </row>
    <row r="666">
      <c r="A666" s="5"/>
      <c r="B666" s="5"/>
    </row>
    <row r="667">
      <c r="A667" s="5"/>
      <c r="B667" s="5"/>
    </row>
    <row r="668">
      <c r="A668" s="5"/>
      <c r="B668" s="5"/>
    </row>
    <row r="669">
      <c r="A669" s="5"/>
      <c r="B669" s="5"/>
    </row>
    <row r="670">
      <c r="A670" s="5"/>
      <c r="B670" s="5"/>
    </row>
    <row r="671">
      <c r="A671" s="5"/>
      <c r="B671" s="5"/>
    </row>
    <row r="672">
      <c r="A672" s="5"/>
      <c r="B672" s="5"/>
    </row>
    <row r="673">
      <c r="A673" s="5"/>
      <c r="B673" s="5"/>
    </row>
    <row r="674">
      <c r="A674" s="5"/>
      <c r="B674" s="5"/>
    </row>
    <row r="675">
      <c r="A675" s="5"/>
      <c r="B675" s="5"/>
    </row>
    <row r="676">
      <c r="A676" s="5"/>
      <c r="B676" s="5"/>
    </row>
    <row r="677">
      <c r="A677" s="5"/>
      <c r="B677" s="5"/>
    </row>
    <row r="678">
      <c r="A678" s="5"/>
      <c r="B678" s="5"/>
    </row>
    <row r="679">
      <c r="A679" s="5"/>
      <c r="B679" s="5"/>
    </row>
    <row r="680">
      <c r="A680" s="5"/>
      <c r="B680" s="5"/>
    </row>
    <row r="681">
      <c r="A681" s="5"/>
      <c r="B681" s="5"/>
    </row>
    <row r="682">
      <c r="A682" s="5"/>
      <c r="B682" s="5"/>
    </row>
    <row r="683">
      <c r="A683" s="5"/>
      <c r="B683" s="5"/>
    </row>
    <row r="684">
      <c r="A684" s="5"/>
      <c r="B684" s="5"/>
    </row>
    <row r="685">
      <c r="A685" s="5"/>
      <c r="B685" s="5"/>
    </row>
    <row r="686">
      <c r="A686" s="5"/>
      <c r="B686" s="5"/>
    </row>
    <row r="687">
      <c r="A687" s="5"/>
      <c r="B687" s="5"/>
    </row>
    <row r="688">
      <c r="A688" s="5"/>
      <c r="B688" s="5"/>
    </row>
    <row r="689">
      <c r="A689" s="5"/>
      <c r="B689" s="5"/>
    </row>
    <row r="690">
      <c r="A690" s="5"/>
      <c r="B690" s="5"/>
    </row>
    <row r="691">
      <c r="A691" s="5"/>
      <c r="B691" s="5"/>
    </row>
    <row r="692">
      <c r="A692" s="5"/>
      <c r="B692" s="5"/>
    </row>
    <row r="693">
      <c r="A693" s="5"/>
      <c r="B693" s="5"/>
    </row>
    <row r="694">
      <c r="A694" s="5"/>
      <c r="B694" s="5"/>
    </row>
    <row r="695">
      <c r="A695" s="5"/>
      <c r="B695" s="5"/>
    </row>
    <row r="696">
      <c r="A696" s="5"/>
      <c r="B696" s="5"/>
    </row>
    <row r="697">
      <c r="A697" s="5"/>
      <c r="B697" s="5"/>
    </row>
    <row r="698">
      <c r="A698" s="5"/>
      <c r="B698" s="5"/>
    </row>
    <row r="699">
      <c r="A699" s="5"/>
      <c r="B699" s="5"/>
    </row>
    <row r="700">
      <c r="A700" s="5"/>
      <c r="B700" s="5"/>
    </row>
    <row r="701">
      <c r="A701" s="5"/>
      <c r="B701" s="5"/>
    </row>
    <row r="702">
      <c r="A702" s="5"/>
      <c r="B702" s="5"/>
    </row>
    <row r="703">
      <c r="A703" s="5"/>
      <c r="B703" s="5"/>
    </row>
    <row r="704">
      <c r="A704" s="5"/>
      <c r="B704" s="5"/>
    </row>
    <row r="705">
      <c r="A705" s="5"/>
      <c r="B705" s="5"/>
    </row>
    <row r="706">
      <c r="A706" s="5"/>
      <c r="B706" s="5"/>
    </row>
    <row r="707">
      <c r="A707" s="5"/>
      <c r="B707" s="5"/>
    </row>
    <row r="708">
      <c r="A708" s="5"/>
      <c r="B708" s="5"/>
    </row>
    <row r="709">
      <c r="A709" s="5"/>
      <c r="B709" s="5"/>
    </row>
    <row r="710">
      <c r="A710" s="5"/>
      <c r="B710" s="5"/>
    </row>
    <row r="711">
      <c r="A711" s="5"/>
      <c r="B711" s="5"/>
    </row>
    <row r="712">
      <c r="A712" s="5"/>
      <c r="B712" s="5"/>
    </row>
    <row r="713">
      <c r="A713" s="5"/>
      <c r="B713" s="5"/>
    </row>
    <row r="714">
      <c r="A714" s="5"/>
      <c r="B714" s="5"/>
    </row>
    <row r="715">
      <c r="A715" s="5"/>
      <c r="B715" s="5"/>
    </row>
    <row r="716">
      <c r="A716" s="5"/>
      <c r="B716" s="5"/>
    </row>
    <row r="717">
      <c r="A717" s="5"/>
      <c r="B717" s="5"/>
    </row>
    <row r="718">
      <c r="A718" s="5"/>
      <c r="B718" s="5"/>
    </row>
    <row r="719">
      <c r="A719" s="5"/>
      <c r="B719" s="5"/>
    </row>
    <row r="720">
      <c r="A720" s="5"/>
      <c r="B720" s="5"/>
    </row>
    <row r="721">
      <c r="A721" s="5"/>
      <c r="B721" s="5"/>
    </row>
    <row r="722">
      <c r="A722" s="5"/>
      <c r="B722" s="5"/>
    </row>
    <row r="723">
      <c r="A723" s="5"/>
      <c r="B723" s="5"/>
    </row>
    <row r="724">
      <c r="A724" s="5"/>
      <c r="B724" s="5"/>
    </row>
    <row r="725">
      <c r="A725" s="5"/>
      <c r="B725" s="5"/>
    </row>
    <row r="726">
      <c r="A726" s="5"/>
      <c r="B726" s="5"/>
    </row>
    <row r="727">
      <c r="A727" s="5"/>
      <c r="B727" s="5"/>
    </row>
    <row r="728">
      <c r="A728" s="5"/>
      <c r="B728" s="5"/>
    </row>
    <row r="729">
      <c r="A729" s="5"/>
      <c r="B729" s="5"/>
    </row>
    <row r="730">
      <c r="A730" s="5"/>
      <c r="B730" s="5"/>
    </row>
    <row r="731">
      <c r="A731" s="5"/>
      <c r="B731" s="5"/>
    </row>
    <row r="732">
      <c r="A732" s="5"/>
      <c r="B732" s="5"/>
    </row>
    <row r="733">
      <c r="A733" s="5"/>
      <c r="B733" s="5"/>
    </row>
    <row r="734">
      <c r="A734" s="5"/>
      <c r="B734" s="5"/>
    </row>
    <row r="735">
      <c r="A735" s="5"/>
      <c r="B735" s="5"/>
    </row>
    <row r="736">
      <c r="A736" s="5"/>
      <c r="B736" s="5"/>
    </row>
    <row r="737">
      <c r="A737" s="5"/>
      <c r="B737" s="5"/>
    </row>
    <row r="738">
      <c r="A738" s="5"/>
      <c r="B738" s="5"/>
    </row>
    <row r="739">
      <c r="A739" s="5"/>
      <c r="B739" s="5"/>
    </row>
    <row r="740">
      <c r="A740" s="5"/>
      <c r="B740" s="5"/>
    </row>
    <row r="741">
      <c r="A741" s="5"/>
      <c r="B741" s="5"/>
    </row>
    <row r="742">
      <c r="A742" s="5"/>
      <c r="B742" s="5"/>
    </row>
    <row r="743">
      <c r="A743" s="5"/>
      <c r="B743" s="5"/>
    </row>
    <row r="744">
      <c r="A744" s="5"/>
      <c r="B744" s="5"/>
    </row>
    <row r="745">
      <c r="A745" s="5"/>
      <c r="B745" s="5"/>
    </row>
    <row r="746">
      <c r="A746" s="5"/>
      <c r="B746" s="5"/>
    </row>
    <row r="747">
      <c r="A747" s="5"/>
      <c r="B747" s="5"/>
    </row>
    <row r="748">
      <c r="A748" s="5"/>
      <c r="B748" s="5"/>
    </row>
    <row r="749">
      <c r="A749" s="5"/>
      <c r="B749" s="5"/>
    </row>
    <row r="750">
      <c r="A750" s="5"/>
      <c r="B750" s="5"/>
    </row>
    <row r="751">
      <c r="A751" s="5"/>
      <c r="B751" s="5"/>
    </row>
    <row r="752">
      <c r="A752" s="5"/>
      <c r="B752" s="5"/>
    </row>
    <row r="753">
      <c r="A753" s="5"/>
      <c r="B753" s="5"/>
    </row>
    <row r="754">
      <c r="A754" s="5"/>
      <c r="B754" s="5"/>
    </row>
    <row r="755">
      <c r="A755" s="5"/>
      <c r="B755" s="5"/>
    </row>
    <row r="756">
      <c r="A756" s="5"/>
      <c r="B756" s="5"/>
    </row>
    <row r="757">
      <c r="A757" s="5"/>
      <c r="B757" s="5"/>
    </row>
    <row r="758">
      <c r="A758" s="5"/>
      <c r="B758" s="5"/>
    </row>
    <row r="759">
      <c r="A759" s="5"/>
      <c r="B759" s="5"/>
    </row>
    <row r="760">
      <c r="A760" s="5"/>
      <c r="B760" s="5"/>
    </row>
    <row r="761">
      <c r="A761" s="5"/>
      <c r="B761" s="5"/>
    </row>
    <row r="762">
      <c r="A762" s="5"/>
      <c r="B762" s="5"/>
    </row>
    <row r="763">
      <c r="A763" s="5"/>
      <c r="B763" s="5"/>
    </row>
    <row r="764">
      <c r="A764" s="5"/>
      <c r="B764" s="5"/>
    </row>
    <row r="765">
      <c r="A765" s="5"/>
      <c r="B765" s="5"/>
    </row>
    <row r="766">
      <c r="A766" s="5"/>
      <c r="B766" s="5"/>
    </row>
    <row r="767">
      <c r="A767" s="5"/>
      <c r="B767" s="5"/>
    </row>
    <row r="768">
      <c r="A768" s="5"/>
      <c r="B768" s="5"/>
    </row>
    <row r="769">
      <c r="A769" s="5"/>
      <c r="B769" s="5"/>
    </row>
    <row r="770">
      <c r="A770" s="5"/>
      <c r="B770" s="5"/>
    </row>
    <row r="771">
      <c r="A771" s="5"/>
      <c r="B771" s="5"/>
    </row>
    <row r="772">
      <c r="A772" s="5"/>
      <c r="B772" s="5"/>
    </row>
    <row r="773">
      <c r="A773" s="5"/>
      <c r="B773" s="5"/>
    </row>
    <row r="774">
      <c r="A774" s="5"/>
      <c r="B774" s="5"/>
    </row>
    <row r="775">
      <c r="A775" s="5"/>
      <c r="B775" s="5"/>
    </row>
    <row r="776">
      <c r="A776" s="5"/>
      <c r="B776" s="5"/>
    </row>
    <row r="777">
      <c r="A777" s="5"/>
      <c r="B777" s="5"/>
    </row>
    <row r="778">
      <c r="A778" s="5"/>
      <c r="B778" s="5"/>
    </row>
    <row r="779">
      <c r="A779" s="5"/>
      <c r="B779" s="5"/>
    </row>
    <row r="780">
      <c r="A780" s="5"/>
      <c r="B780" s="5"/>
    </row>
    <row r="781">
      <c r="A781" s="5"/>
      <c r="B781" s="5"/>
    </row>
    <row r="782">
      <c r="A782" s="5"/>
      <c r="B782" s="5"/>
    </row>
    <row r="783">
      <c r="A783" s="5"/>
      <c r="B783" s="5"/>
    </row>
    <row r="784">
      <c r="A784" s="5"/>
      <c r="B784" s="5"/>
    </row>
    <row r="785">
      <c r="A785" s="5"/>
      <c r="B785" s="5"/>
    </row>
    <row r="786">
      <c r="A786" s="5"/>
      <c r="B786" s="5"/>
    </row>
    <row r="787">
      <c r="A787" s="5"/>
      <c r="B787" s="5"/>
    </row>
    <row r="788">
      <c r="A788" s="5"/>
      <c r="B788" s="5"/>
    </row>
    <row r="789">
      <c r="A789" s="5"/>
      <c r="B789" s="5"/>
    </row>
    <row r="790">
      <c r="A790" s="5"/>
      <c r="B790" s="5"/>
    </row>
    <row r="791">
      <c r="A791" s="5"/>
      <c r="B791" s="5"/>
    </row>
    <row r="792">
      <c r="A792" s="5"/>
      <c r="B792" s="5"/>
    </row>
    <row r="793">
      <c r="A793" s="5"/>
      <c r="B793" s="5"/>
    </row>
    <row r="794">
      <c r="A794" s="5"/>
      <c r="B794" s="5"/>
    </row>
    <row r="795">
      <c r="A795" s="5"/>
      <c r="B795" s="5"/>
    </row>
    <row r="796">
      <c r="A796" s="5"/>
      <c r="B796" s="5"/>
    </row>
    <row r="797">
      <c r="A797" s="5"/>
      <c r="B797" s="5"/>
    </row>
    <row r="798">
      <c r="A798" s="5"/>
      <c r="B798" s="5"/>
    </row>
    <row r="799">
      <c r="A799" s="5"/>
      <c r="B799" s="5"/>
    </row>
    <row r="800">
      <c r="A800" s="5"/>
      <c r="B800" s="5"/>
    </row>
    <row r="801">
      <c r="A801" s="5"/>
      <c r="B801" s="5"/>
    </row>
    <row r="802">
      <c r="A802" s="5"/>
      <c r="B802" s="5"/>
    </row>
    <row r="803">
      <c r="A803" s="5"/>
      <c r="B803" s="5"/>
    </row>
    <row r="804">
      <c r="A804" s="5"/>
      <c r="B804" s="5"/>
    </row>
    <row r="805">
      <c r="A805" s="5"/>
      <c r="B805" s="5"/>
    </row>
    <row r="806">
      <c r="A806" s="5"/>
      <c r="B806" s="5"/>
    </row>
    <row r="807">
      <c r="A807" s="5"/>
      <c r="B807" s="5"/>
    </row>
    <row r="808">
      <c r="A808" s="5"/>
      <c r="B808" s="5"/>
    </row>
    <row r="809">
      <c r="A809" s="5"/>
      <c r="B809" s="5"/>
    </row>
    <row r="810">
      <c r="A810" s="5"/>
      <c r="B810" s="5"/>
    </row>
    <row r="811">
      <c r="A811" s="5"/>
      <c r="B811" s="5"/>
    </row>
    <row r="812">
      <c r="A812" s="5"/>
      <c r="B812" s="5"/>
    </row>
    <row r="813">
      <c r="A813" s="5"/>
      <c r="B813" s="5"/>
    </row>
    <row r="814">
      <c r="A814" s="5"/>
      <c r="B814" s="5"/>
    </row>
    <row r="815">
      <c r="A815" s="5"/>
      <c r="B815" s="5"/>
    </row>
    <row r="816">
      <c r="A816" s="5"/>
      <c r="B816" s="5"/>
    </row>
    <row r="817">
      <c r="A817" s="5"/>
      <c r="B817" s="5"/>
    </row>
    <row r="818">
      <c r="A818" s="5"/>
      <c r="B818" s="5"/>
    </row>
    <row r="819">
      <c r="A819" s="5"/>
      <c r="B819" s="5"/>
    </row>
    <row r="820">
      <c r="A820" s="5"/>
      <c r="B820" s="5"/>
    </row>
    <row r="821">
      <c r="A821" s="5"/>
      <c r="B821" s="5"/>
    </row>
    <row r="822">
      <c r="A822" s="5"/>
      <c r="B822" s="5"/>
    </row>
    <row r="823">
      <c r="A823" s="5"/>
      <c r="B823" s="5"/>
    </row>
    <row r="824">
      <c r="A824" s="5"/>
      <c r="B824" s="5"/>
    </row>
    <row r="825">
      <c r="A825" s="5"/>
      <c r="B825" s="5"/>
    </row>
    <row r="826">
      <c r="A826" s="5"/>
      <c r="B826" s="5"/>
    </row>
    <row r="827">
      <c r="A827" s="5"/>
      <c r="B827" s="5"/>
    </row>
    <row r="828">
      <c r="A828" s="5"/>
      <c r="B828" s="5"/>
    </row>
    <row r="829">
      <c r="A829" s="5"/>
      <c r="B829" s="5"/>
    </row>
    <row r="830">
      <c r="A830" s="5"/>
      <c r="B830" s="5"/>
    </row>
    <row r="831">
      <c r="A831" s="5"/>
      <c r="B831" s="5"/>
    </row>
    <row r="832">
      <c r="A832" s="5"/>
      <c r="B832" s="5"/>
    </row>
    <row r="833">
      <c r="A833" s="5"/>
      <c r="B833" s="5"/>
    </row>
    <row r="834">
      <c r="A834" s="5"/>
      <c r="B834" s="5"/>
    </row>
    <row r="835">
      <c r="A835" s="5"/>
      <c r="B835" s="5"/>
    </row>
    <row r="836">
      <c r="A836" s="5"/>
      <c r="B836" s="5"/>
    </row>
    <row r="837">
      <c r="A837" s="5"/>
      <c r="B837" s="5"/>
    </row>
    <row r="838">
      <c r="A838" s="5"/>
      <c r="B838" s="5"/>
    </row>
    <row r="839">
      <c r="A839" s="5"/>
      <c r="B839" s="5"/>
    </row>
    <row r="840">
      <c r="A840" s="5"/>
      <c r="B840" s="5"/>
    </row>
    <row r="841">
      <c r="A841" s="5"/>
      <c r="B841" s="5"/>
    </row>
    <row r="842">
      <c r="A842" s="5"/>
      <c r="B842" s="5"/>
    </row>
    <row r="843">
      <c r="A843" s="5"/>
      <c r="B843" s="5"/>
    </row>
    <row r="844">
      <c r="A844" s="5"/>
      <c r="B844" s="5"/>
    </row>
    <row r="845">
      <c r="A845" s="5"/>
      <c r="B845" s="5"/>
    </row>
    <row r="846">
      <c r="A846" s="5"/>
      <c r="B846" s="5"/>
    </row>
    <row r="847">
      <c r="A847" s="5"/>
      <c r="B847" s="5"/>
    </row>
    <row r="848">
      <c r="A848" s="5"/>
      <c r="B848" s="5"/>
    </row>
    <row r="849">
      <c r="A849" s="5"/>
      <c r="B849" s="5"/>
    </row>
    <row r="850">
      <c r="A850" s="5"/>
      <c r="B850" s="5"/>
    </row>
    <row r="851">
      <c r="A851" s="5"/>
      <c r="B851" s="5"/>
    </row>
    <row r="852">
      <c r="A852" s="5"/>
      <c r="B852" s="5"/>
    </row>
    <row r="853">
      <c r="A853" s="5"/>
      <c r="B853" s="5"/>
    </row>
    <row r="854">
      <c r="A854" s="5"/>
      <c r="B854" s="5"/>
    </row>
    <row r="855">
      <c r="A855" s="5"/>
      <c r="B855" s="5"/>
    </row>
    <row r="856">
      <c r="A856" s="5"/>
      <c r="B856" s="5"/>
    </row>
    <row r="857">
      <c r="A857" s="5"/>
      <c r="B857" s="5"/>
    </row>
    <row r="858">
      <c r="A858" s="5"/>
      <c r="B858" s="5"/>
    </row>
    <row r="859">
      <c r="A859" s="5"/>
      <c r="B859" s="5"/>
    </row>
    <row r="860">
      <c r="A860" s="5"/>
      <c r="B860" s="5"/>
    </row>
    <row r="861">
      <c r="A861" s="5"/>
      <c r="B861" s="5"/>
    </row>
    <row r="862">
      <c r="A862" s="5"/>
      <c r="B862" s="5"/>
    </row>
    <row r="863">
      <c r="A863" s="5"/>
      <c r="B863" s="5"/>
    </row>
    <row r="864">
      <c r="A864" s="5"/>
      <c r="B864" s="5"/>
    </row>
    <row r="865">
      <c r="A865" s="5"/>
      <c r="B865" s="5"/>
    </row>
    <row r="866">
      <c r="A866" s="5"/>
      <c r="B866" s="5"/>
    </row>
    <row r="867">
      <c r="A867" s="5"/>
      <c r="B867" s="5"/>
    </row>
    <row r="868">
      <c r="A868" s="5"/>
      <c r="B868" s="5"/>
    </row>
    <row r="869">
      <c r="A869" s="5"/>
      <c r="B869" s="5"/>
    </row>
    <row r="870">
      <c r="A870" s="5"/>
      <c r="B870" s="5"/>
    </row>
    <row r="871">
      <c r="A871" s="5"/>
      <c r="B871" s="5"/>
    </row>
    <row r="872">
      <c r="A872" s="5"/>
      <c r="B872" s="5"/>
    </row>
    <row r="873">
      <c r="A873" s="5"/>
      <c r="B873" s="5"/>
    </row>
    <row r="874">
      <c r="A874" s="5"/>
      <c r="B874" s="5"/>
    </row>
    <row r="875">
      <c r="A875" s="5"/>
      <c r="B875" s="5"/>
    </row>
    <row r="876">
      <c r="A876" s="5"/>
      <c r="B876" s="5"/>
    </row>
    <row r="877">
      <c r="A877" s="5"/>
      <c r="B877" s="5"/>
    </row>
    <row r="878">
      <c r="A878" s="5"/>
      <c r="B878" s="5"/>
    </row>
    <row r="879">
      <c r="A879" s="5"/>
      <c r="B879" s="5"/>
    </row>
    <row r="880">
      <c r="A880" s="5"/>
      <c r="B880" s="5"/>
    </row>
    <row r="881">
      <c r="A881" s="5"/>
      <c r="B881" s="5"/>
    </row>
    <row r="882">
      <c r="A882" s="5"/>
      <c r="B882" s="5"/>
    </row>
    <row r="883">
      <c r="A883" s="5"/>
      <c r="B883" s="5"/>
    </row>
    <row r="884">
      <c r="A884" s="5"/>
      <c r="B884" s="5"/>
    </row>
    <row r="885">
      <c r="A885" s="5"/>
      <c r="B885" s="5"/>
    </row>
    <row r="886">
      <c r="A886" s="5"/>
      <c r="B886" s="5"/>
    </row>
    <row r="887">
      <c r="A887" s="5"/>
      <c r="B887" s="5"/>
    </row>
    <row r="888">
      <c r="A888" s="5"/>
      <c r="B888" s="5"/>
    </row>
    <row r="889">
      <c r="A889" s="5"/>
      <c r="B889" s="5"/>
    </row>
    <row r="890">
      <c r="A890" s="5"/>
      <c r="B890" s="5"/>
    </row>
    <row r="891">
      <c r="A891" s="5"/>
      <c r="B891" s="5"/>
    </row>
    <row r="892">
      <c r="A892" s="5"/>
      <c r="B892" s="5"/>
    </row>
    <row r="893">
      <c r="A893" s="5"/>
      <c r="B893" s="5"/>
    </row>
    <row r="894">
      <c r="A894" s="5"/>
      <c r="B894" s="5"/>
    </row>
    <row r="895">
      <c r="A895" s="5"/>
      <c r="B895" s="5"/>
    </row>
    <row r="896">
      <c r="A896" s="5"/>
      <c r="B896" s="5"/>
    </row>
    <row r="897">
      <c r="A897" s="5"/>
      <c r="B897" s="5"/>
    </row>
    <row r="898">
      <c r="A898" s="5"/>
      <c r="B898" s="5"/>
    </row>
    <row r="899">
      <c r="A899" s="5"/>
      <c r="B899" s="5"/>
    </row>
    <row r="900">
      <c r="A900" s="5"/>
      <c r="B900" s="5"/>
    </row>
    <row r="901">
      <c r="A901" s="5"/>
      <c r="B901" s="5"/>
    </row>
    <row r="902">
      <c r="A902" s="5"/>
      <c r="B902" s="5"/>
    </row>
    <row r="903">
      <c r="A903" s="5"/>
      <c r="B903" s="5"/>
    </row>
    <row r="904">
      <c r="A904" s="5"/>
      <c r="B904" s="5"/>
    </row>
    <row r="905">
      <c r="A905" s="5"/>
      <c r="B905" s="5"/>
    </row>
    <row r="906">
      <c r="A906" s="5"/>
      <c r="B906" s="5"/>
    </row>
    <row r="907">
      <c r="A907" s="5"/>
      <c r="B907" s="5"/>
    </row>
    <row r="908">
      <c r="A908" s="5"/>
      <c r="B908" s="5"/>
    </row>
    <row r="909">
      <c r="A909" s="5"/>
      <c r="B909" s="5"/>
    </row>
    <row r="910">
      <c r="A910" s="5"/>
      <c r="B910" s="5"/>
    </row>
    <row r="911">
      <c r="A911" s="5"/>
      <c r="B911" s="5"/>
    </row>
    <row r="912">
      <c r="A912" s="5"/>
      <c r="B912" s="5"/>
    </row>
    <row r="913">
      <c r="A913" s="5"/>
      <c r="B913" s="5"/>
    </row>
    <row r="914">
      <c r="A914" s="5"/>
      <c r="B914" s="5"/>
    </row>
    <row r="915">
      <c r="A915" s="5"/>
      <c r="B915" s="5"/>
    </row>
    <row r="916">
      <c r="A916" s="5"/>
      <c r="B916" s="5"/>
    </row>
    <row r="917">
      <c r="A917" s="5"/>
      <c r="B917" s="5"/>
    </row>
    <row r="918">
      <c r="A918" s="5"/>
      <c r="B918" s="5"/>
    </row>
    <row r="919">
      <c r="A919" s="5"/>
      <c r="B919" s="5"/>
    </row>
    <row r="920">
      <c r="A920" s="5"/>
      <c r="B920" s="5"/>
    </row>
    <row r="921">
      <c r="A921" s="5"/>
      <c r="B921" s="5"/>
    </row>
    <row r="922">
      <c r="A922" s="5"/>
      <c r="B922" s="5"/>
    </row>
    <row r="923">
      <c r="A923" s="5"/>
      <c r="B923" s="5"/>
    </row>
    <row r="924">
      <c r="A924" s="5"/>
      <c r="B924" s="5"/>
    </row>
    <row r="925">
      <c r="A925" s="5"/>
      <c r="B925" s="5"/>
    </row>
    <row r="926">
      <c r="A926" s="5"/>
      <c r="B926" s="5"/>
    </row>
    <row r="927">
      <c r="A927" s="5"/>
      <c r="B927" s="5"/>
    </row>
    <row r="928">
      <c r="A928" s="5"/>
      <c r="B928" s="5"/>
    </row>
    <row r="929">
      <c r="A929" s="5"/>
      <c r="B929" s="5"/>
    </row>
    <row r="930">
      <c r="A930" s="5"/>
      <c r="B930" s="5"/>
    </row>
    <row r="931">
      <c r="A931" s="5"/>
      <c r="B931" s="5"/>
    </row>
    <row r="932">
      <c r="A932" s="5"/>
      <c r="B932" s="5"/>
    </row>
    <row r="933">
      <c r="A933" s="5"/>
      <c r="B933" s="5"/>
    </row>
    <row r="934">
      <c r="A934" s="5"/>
      <c r="B934" s="5"/>
    </row>
    <row r="935">
      <c r="A935" s="5"/>
      <c r="B935" s="5"/>
    </row>
    <row r="936">
      <c r="A936" s="5"/>
      <c r="B936" s="5"/>
    </row>
    <row r="937">
      <c r="A937" s="5"/>
      <c r="B937" s="5"/>
    </row>
    <row r="938">
      <c r="A938" s="5"/>
      <c r="B938" s="5"/>
    </row>
    <row r="939">
      <c r="A939" s="5"/>
      <c r="B939" s="5"/>
    </row>
    <row r="940">
      <c r="A940" s="5"/>
      <c r="B940" s="5"/>
    </row>
    <row r="941">
      <c r="A941" s="5"/>
      <c r="B941" s="5"/>
    </row>
    <row r="942">
      <c r="A942" s="5"/>
      <c r="B942" s="5"/>
    </row>
    <row r="943">
      <c r="A943" s="5"/>
      <c r="B943" s="5"/>
    </row>
    <row r="944">
      <c r="A944" s="5"/>
      <c r="B944" s="5"/>
    </row>
    <row r="945">
      <c r="A945" s="5"/>
      <c r="B945" s="5"/>
    </row>
    <row r="946">
      <c r="A946" s="5"/>
      <c r="B946" s="5"/>
    </row>
    <row r="947">
      <c r="A947" s="5"/>
      <c r="B947" s="5"/>
    </row>
    <row r="948">
      <c r="A948" s="5"/>
      <c r="B948" s="5"/>
    </row>
    <row r="949">
      <c r="A949" s="5"/>
      <c r="B949" s="5"/>
    </row>
    <row r="950">
      <c r="A950" s="5"/>
      <c r="B950" s="5"/>
    </row>
    <row r="951">
      <c r="A951" s="5"/>
      <c r="B951" s="5"/>
    </row>
    <row r="952">
      <c r="A952" s="5"/>
      <c r="B952" s="5"/>
    </row>
    <row r="953">
      <c r="A953" s="5"/>
      <c r="B953" s="5"/>
    </row>
    <row r="954">
      <c r="A954" s="5"/>
      <c r="B954" s="5"/>
    </row>
    <row r="955">
      <c r="A955" s="5"/>
      <c r="B955" s="5"/>
    </row>
    <row r="956">
      <c r="A956" s="5"/>
      <c r="B956" s="5"/>
    </row>
    <row r="957">
      <c r="A957" s="5"/>
      <c r="B957" s="5"/>
    </row>
    <row r="958">
      <c r="A958" s="5"/>
      <c r="B958" s="5"/>
    </row>
    <row r="959">
      <c r="A959" s="5"/>
      <c r="B959" s="5"/>
    </row>
    <row r="960">
      <c r="A960" s="5"/>
      <c r="B960" s="5"/>
    </row>
    <row r="961">
      <c r="A961" s="5"/>
      <c r="B961" s="5"/>
    </row>
    <row r="962">
      <c r="A962" s="5"/>
      <c r="B962" s="5"/>
    </row>
    <row r="963">
      <c r="A963" s="5"/>
      <c r="B963" s="5"/>
    </row>
    <row r="964">
      <c r="A964" s="5"/>
      <c r="B964" s="5"/>
    </row>
    <row r="965">
      <c r="A965" s="5"/>
      <c r="B965" s="5"/>
    </row>
    <row r="966">
      <c r="A966" s="5"/>
      <c r="B966" s="5"/>
    </row>
    <row r="967">
      <c r="A967" s="5"/>
      <c r="B967" s="5"/>
    </row>
    <row r="968">
      <c r="A968" s="5"/>
      <c r="B968" s="5"/>
    </row>
    <row r="969">
      <c r="A969" s="5"/>
      <c r="B969" s="5"/>
    </row>
    <row r="970">
      <c r="A970" s="5"/>
      <c r="B970" s="5"/>
    </row>
    <row r="971">
      <c r="A971" s="5"/>
      <c r="B971" s="5"/>
    </row>
    <row r="972">
      <c r="A972" s="5"/>
      <c r="B972" s="5"/>
    </row>
    <row r="973">
      <c r="A973" s="5"/>
      <c r="B973" s="5"/>
    </row>
    <row r="974">
      <c r="A974" s="5"/>
      <c r="B974" s="5"/>
    </row>
    <row r="975">
      <c r="A975" s="5"/>
      <c r="B975" s="5"/>
    </row>
    <row r="976">
      <c r="A976" s="5"/>
      <c r="B976" s="5"/>
    </row>
    <row r="977">
      <c r="A977" s="5"/>
      <c r="B977" s="5"/>
    </row>
    <row r="978">
      <c r="A978" s="5"/>
      <c r="B978" s="5"/>
    </row>
    <row r="979">
      <c r="A979" s="5"/>
      <c r="B979" s="5"/>
    </row>
    <row r="980">
      <c r="A980" s="5"/>
      <c r="B980" s="5"/>
    </row>
    <row r="981">
      <c r="A981" s="5"/>
      <c r="B981" s="5"/>
    </row>
    <row r="982">
      <c r="A982" s="5"/>
      <c r="B982" s="5"/>
    </row>
    <row r="983">
      <c r="A983" s="5"/>
      <c r="B983" s="5"/>
    </row>
    <row r="984">
      <c r="A984" s="5"/>
      <c r="B984" s="5"/>
    </row>
    <row r="985">
      <c r="A985" s="5"/>
      <c r="B985" s="5"/>
    </row>
    <row r="986">
      <c r="A986" s="5"/>
      <c r="B986" s="5"/>
    </row>
    <row r="987">
      <c r="A987" s="5"/>
      <c r="B987" s="5"/>
    </row>
    <row r="988">
      <c r="A988" s="5"/>
      <c r="B988" s="5"/>
    </row>
    <row r="989">
      <c r="A989" s="5"/>
      <c r="B989" s="5"/>
    </row>
    <row r="990">
      <c r="A990" s="5"/>
      <c r="B990" s="5"/>
    </row>
    <row r="991">
      <c r="A991" s="5"/>
      <c r="B991" s="5"/>
    </row>
    <row r="992">
      <c r="A992" s="5"/>
      <c r="B992" s="5"/>
    </row>
    <row r="993">
      <c r="A993" s="5"/>
      <c r="B993" s="5"/>
    </row>
    <row r="994">
      <c r="A994" s="5"/>
      <c r="B994" s="5"/>
    </row>
    <row r="995">
      <c r="A995" s="5"/>
      <c r="B995" s="5"/>
    </row>
    <row r="996">
      <c r="A996" s="5"/>
      <c r="B996" s="5"/>
    </row>
    <row r="997">
      <c r="A997" s="5"/>
      <c r="B997" s="5"/>
    </row>
    <row r="998">
      <c r="A998" s="5"/>
      <c r="B998" s="5"/>
    </row>
    <row r="999">
      <c r="A999" s="5"/>
      <c r="B999" s="5"/>
    </row>
    <row r="1000">
      <c r="A1000" s="5"/>
      <c r="B1000" s="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38"/>
    <col customWidth="1" min="2" max="2" width="60.13"/>
  </cols>
  <sheetData>
    <row r="1">
      <c r="A1" s="2" t="s">
        <v>188</v>
      </c>
      <c r="B1" s="5" t="str">
        <f>IFERROR(__xludf.DUMMYFUNCTION("GOOGLETRANSLATE(A1,""ja"",""vi"")"),"[00:00:10-00:00:55][Tanaka] Cảm ơn quý vị đã tham gia cuộc họp lập kế hoạch ra mắt sản phẩm mới ""AiVoice Pro"" của chúng tôi hôm nay. Hôm nay, chúng ta sẽ hoàn thiện tổng quan sản phẩm, xem xét các thông số kỹ thuật, xây dựng kế hoạch thâm nhập thị trườn"&amp;"g và tiến hành phân tích rủi ro. Sản phẩm này là khoản đầu tư lớn nhất của chúng tôi cho đến nay, vì vậy tôi mong quý vị sẽ thảo luận cẩn thận và chi tiết.")</f>
        <v>[00:00:10-00:00:55][Tanaka] Cảm ơn quý vị đã tham gia cuộc họp lập kế hoạch ra mắt sản phẩm mới "AiVoice Pro" của chúng tôi hôm nay. Hôm nay, chúng ta sẽ hoàn thiện tổng quan sản phẩm, xem xét các thông số kỹ thuật, xây dựng kế hoạch thâm nhập thị trường và tiến hành phân tích rủi ro. Sản phẩm này là khoản đầu tư lớn nhất của chúng tôi cho đến nay, vì vậy tôi mong quý vị sẽ thảo luận cẩn thận và chi tiết.</v>
      </c>
    </row>
    <row r="2">
      <c r="A2" s="2" t="s">
        <v>189</v>
      </c>
      <c r="B2" s="5" t="str">
        <f>IFERROR(__xludf.DUMMYFUNCTION("GOOGLETRANSLATE(A2,""ja"",""vi"")"),"[00:00:55-00:01:15][Suzuki] Cảm ơn trước.")</f>
        <v>[00:00:55-00:01:15][Suzuki] Cảm ơn trước.</v>
      </c>
    </row>
    <row r="3">
      <c r="A3" s="2" t="s">
        <v>190</v>
      </c>
      <c r="B3" s="5" t="str">
        <f>IFERROR(__xludf.DUMMYFUNCTION("GOOGLETRANSLATE(A3,""ja"",""vi"")"),"[00:01:15-00:01:30][Sato] Cảm ơn trước.")</f>
        <v>[00:01:15-00:01:30][Sato] Cảm ơn trước.</v>
      </c>
    </row>
    <row r="4">
      <c r="A4" s="2" t="s">
        <v>191</v>
      </c>
      <c r="B4" s="5" t="str">
        <f>IFERROR(__xludf.DUMMYFUNCTION("GOOGLETRANSLATE(A4,""ja"",""vi"")"),"[00:01:30-00:01:45][Yamada] Cảm ơn trước.")</f>
        <v>[00:01:30-00:01:45][Yamada] Cảm ơn trước.</v>
      </c>
    </row>
    <row r="5">
      <c r="A5" s="2" t="s">
        <v>192</v>
      </c>
      <c r="B5" s="5" t="str">
        <f>IFERROR(__xludf.DUMMYFUNCTION("GOOGLETRANSLATE(A5,""ja"",""vi"")"),"[00:01:45-00:02:00][Matsumoto] Cảm ơn trước.")</f>
        <v>[00:01:45-00:02:00][Matsumoto] Cảm ơn trước.</v>
      </c>
    </row>
    <row r="6">
      <c r="A6" s="2" t="s">
        <v>193</v>
      </c>
      <c r="B6" s="5" t="str">
        <f>IFERROR(__xludf.DUMMYFUNCTION("GOOGLETRANSLATE(A6,""ja"",""vi"")"),"[00:02:00-00:03:00][Tanaka] Trước tiên, chúng ta hãy xem xét định vị của AiVoice Pro. Đây không chỉ là phiên bản nâng cấp mà là một dòng sản phẩm hoàn toàn mới dành cho doanh nghiệp. So với dòng AiVoice hiện tại, nó tự hào có tốc độ xử lý nhanh gấp ba lần"&amp;" và độ chính xác nhận dạng đạt 98%, mức cao nhất trong ngành.")</f>
        <v>[00:02:00-00:03:00][Tanaka] Trước tiên, chúng ta hãy xem xét định vị của AiVoice Pro. Đây không chỉ là phiên bản nâng cấp mà là một dòng sản phẩm hoàn toàn mới dành cho doanh nghiệp. So với dòng AiVoice hiện tại, nó tự hào có tốc độ xử lý nhanh gấp ba lần và độ chính xác nhận dạng đạt 98%, mức cao nhất trong ngành.</v>
      </c>
    </row>
    <row r="7">
      <c r="A7" s="2" t="s">
        <v>194</v>
      </c>
      <c r="B7" s="5" t="str">
        <f>IFERROR(__xludf.DUMMYFUNCTION("GOOGLETRANSLATE(A7,""ja"",""vi"")"),"[00:03:00-00:03:40][Yamada] Tôi sẽ giải thích về thị trường mục tiêu. Mục tiêu chính của AiVoice Pro là các công ty quy mô vừa và lớn với 100 nhân viên trở lên. Đặc biệt, chúng tôi kỳ vọng sản phẩm sẽ được ứng dụng rộng rãi trong các lĩnh vực y tế, tài ch"&amp;"ính và sản xuất. Mục tiêu của chúng tôi là có 1.000 công ty sử dụng sản phẩm này trong năm đầu tiên.")</f>
        <v>[00:03:00-00:03:40][Yamada] Tôi sẽ giải thích về thị trường mục tiêu. Mục tiêu chính của AiVoice Pro là các công ty quy mô vừa và lớn với 100 nhân viên trở lên. Đặc biệt, chúng tôi kỳ vọng sản phẩm sẽ được ứng dụng rộng rãi trong các lĩnh vực y tế, tài chính và sản xuất. Mục tiêu của chúng tôi là có 1.000 công ty sử dụng sản phẩm này trong năm đầu tiên.</v>
      </c>
    </row>
    <row r="8">
      <c r="A8" s="2" t="s">
        <v>195</v>
      </c>
      <c r="B8" s="5" t="str">
        <f>IFERROR(__xludf.DUMMYFUNCTION("GOOGLETRANSLATE(A8,""ja"",""vi"")"),"[00:03:40-00:04:15][Tanaka] 1.000 công ty là một mục tiêu đầy tham vọng. Anh có cơ sở nào cho điều đó không?")</f>
        <v>[00:03:40-00:04:15][Tanaka] 1.000 công ty là một mục tiêu đầy tham vọng. Anh có cơ sở nào cho điều đó không?</v>
      </c>
    </row>
    <row r="9">
      <c r="A9" s="2" t="s">
        <v>196</v>
      </c>
      <c r="B9" s="5" t="str">
        <f>IFERROR(__xludf.DUMMYFUNCTION("GOOGLETRANSLATE(A9,""ja"",""vi"")"),"[00:04:15-00:05:10][Yamada] Vâng. Hiện tại, chúng tôi có khoảng 300 công ty đang sử dụng AiVoice, và một cuộc khảo sát gần đây cho thấy hơn 70% trong số họ muốn nâng cấp. Chúng tôi đặt mục tiêu thu hút những người dùng còn lại làm khách hàng mới. Chúng tô"&amp;"i ước tính thị trường tiềm năng cho toàn ngành vào khoảng 5.000 công ty.")</f>
        <v>[00:04:15-00:05:10][Yamada] Vâng. Hiện tại, chúng tôi có khoảng 300 công ty đang sử dụng AiVoice, và một cuộc khảo sát gần đây cho thấy hơn 70% trong số họ muốn nâng cấp. Chúng tôi đặt mục tiêu thu hút những người dùng còn lại làm khách hàng mới. Chúng tôi ước tính thị trường tiềm năng cho toàn ngành vào khoảng 5.000 công ty.</v>
      </c>
    </row>
    <row r="10">
      <c r="A10" s="2" t="s">
        <v>197</v>
      </c>
      <c r="B10" s="5" t="str">
        <f>IFERROR(__xludf.DUMMYFUNCTION("GOOGLETRANSLATE(A10,""ja"",""vi"")"),"[00:05:10-00:05:50][Tanaka] Đã hiểu. Giờ, thưa ông Suzuki, xin vui lòng giải thích chi tiết về thông số kỹ thuật.")</f>
        <v>[00:05:10-00:05:50][Tanaka] Đã hiểu. Giờ, thưa ông Suzuki, xin vui lòng giải thích chi tiết về thông số kỹ thuật.</v>
      </c>
    </row>
    <row r="11">
      <c r="A11" s="2" t="s">
        <v>198</v>
      </c>
      <c r="B11" s="5" t="str">
        <f>IFERROR(__xludf.DUMMYFUNCTION("GOOGLETRANSLATE(A11,""ja"",""vi"")"),"[00:05:50-00:07:00][Suzuki] Vâng. Công nghệ chính của AiVoice Pro bao gồm ba thành phần. Đầu tiên là một công cụ mạng thần kinh mới. Dựa trên kiến ​​trúc Transformer độc quyền của chúng tôi, nó đã được tinh chỉnh đặc biệt cho tiếng Nhật. Điều này đã cải t"&amp;"hiện đáng kể độ chính xác trong việc xử lý các phương ngữ và thuật ngữ chuyên ngành.")</f>
        <v>[00:05:50-00:07:00][Suzuki] Vâng. Công nghệ chính của AiVoice Pro bao gồm ba thành phần. Đầu tiên là một công cụ mạng thần kinh mới. Dựa trên kiến ​​trúc Transformer độc quyền của chúng tôi, nó đã được tinh chỉnh đặc biệt cho tiếng Nhật. Điều này đã cải thiện đáng kể độ chính xác trong việc xử lý các phương ngữ và thuật ngữ chuyên ngành.</v>
      </c>
    </row>
    <row r="12">
      <c r="A12" s="2" t="s">
        <v>199</v>
      </c>
      <c r="B12" s="5" t="str">
        <f>IFERROR(__xludf.DUMMYFUNCTION("GOOGLETRANSLATE(A12,""ja"",""vi"")"),"[00:07:00-00:07:50][Suzuki] Thứ hai là công cụ xử lý thời gian thực. Để đạt được tốc độ xử lý nhanh hơn gấp ba lần so với trước đây, chúng tôi đang sử dụng cụm GPU mới. Trung bình, quá trình từ khi nhập giọng nói đến khi hoàn thành phiên âm chỉ mất chưa đ"&amp;"ến một giây. Thứ ba là cơ sở hạ tầng bảo mật. Đáp ứng nhu cầu của khách hàng doanh nghiệp, hỗ trợ tại chỗ và mã hóa đầu cuối được triển khai theo tiêu chuẩn.")</f>
        <v>[00:07:00-00:07:50][Suzuki] Thứ hai là công cụ xử lý thời gian thực. Để đạt được tốc độ xử lý nhanh hơn gấp ba lần so với trước đây, chúng tôi đang sử dụng cụm GPU mới. Trung bình, quá trình từ khi nhập giọng nói đến khi hoàn thành phiên âm chỉ mất chưa đến một giây. Thứ ba là cơ sở hạ tầng bảo mật. Đáp ứng nhu cầu của khách hàng doanh nghiệp, hỗ trợ tại chỗ và mã hóa đầu cuối được triển khai theo tiêu chuẩn.</v>
      </c>
    </row>
    <row r="13">
      <c r="A13" s="2" t="s">
        <v>200</v>
      </c>
      <c r="B13" s="5" t="str">
        <f>IFERROR(__xludf.DUMMYFUNCTION("GOOGLETRANSLATE(A13,""ja"",""vi"")"),"[00:07:50-00:08:20][Sato] Việc triển khai cơ sở hạ tầng an ninh tốn bao nhiêu chi phí?")</f>
        <v>[00:07:50-00:08:20][Sato] Việc triển khai cơ sở hạ tầng an ninh tốn bao nhiêu chi phí?</v>
      </c>
    </row>
    <row r="14">
      <c r="A14" s="2" t="s">
        <v>201</v>
      </c>
      <c r="B14" s="5" t="str">
        <f>IFERROR(__xludf.DUMMYFUNCTION("GOOGLETRANSLATE(A14,""ja"",""vi"")"),"[00:08:20-00:09:05][Suzuki] Chi phí phát triển chiếm khoảng 30% tổng chi phí. Tuy nhiên, chúng tôi tin rằng đây là yếu tố quyết định trong việc áp dụng tại các lĩnh vực y tế và tài chính. Trong các ngành có yêu cầu tuân thủ nghiêm ngặt, bảo mật là tiêu ch"&amp;"í lựa chọn quan trọng nhất.")</f>
        <v>[00:08:20-00:09:05][Suzuki] Chi phí phát triển chiếm khoảng 30% tổng chi phí. Tuy nhiên, chúng tôi tin rằng đây là yếu tố quyết định trong việc áp dụng tại các lĩnh vực y tế và tài chính. Trong các ngành có yêu cầu tuân thủ nghiêm ngặt, bảo mật là tiêu chí lựa chọn quan trọng nhất.</v>
      </c>
    </row>
    <row r="15">
      <c r="A15" s="2" t="s">
        <v>202</v>
      </c>
      <c r="B15" s="5" t="str">
        <f>IFERROR(__xludf.DUMMYFUNCTION("GOOGLETRANSLATE(A15,""ja"",""vi"")"),"[00:09:05-00:09:40][Tanaka] Tình trạng cấp chứng nhận cho trạng thái phản hồi như thế nào?")</f>
        <v>[00:09:05-00:09:40][Tanaka] Tình trạng cấp chứng nhận cho trạng thái phản hồi như thế nào?</v>
      </c>
    </row>
    <row r="16">
      <c r="A16" s="2" t="s">
        <v>203</v>
      </c>
      <c r="B16" s="5" t="str">
        <f>IFERROR(__xludf.DUMMYFUNCTION("GOOGLETRANSLATE(A16,""ja"",""vi"")"),"[00:09:40-00:10:30][Suzuki] Hiện tại chúng tôi đang trong quá trình xin chứng nhận ISO27001. Chúng tôi dự kiến ​​sẽ nhận được chứng nhận vào cuối tháng 8. Chúng tôi cũng đã hoàn tất việc tuân thủ các hướng dẫn về quản lý an toàn hệ thống thông tin y tế và"&amp;" đang chuẩn bị tài liệu cho các cơ sở y tế.")</f>
        <v>[00:09:40-00:10:30][Suzuki] Hiện tại chúng tôi đang trong quá trình xin chứng nhận ISO27001. Chúng tôi dự kiến ​​sẽ nhận được chứng nhận vào cuối tháng 8. Chúng tôi cũng đã hoàn tất việc tuân thủ các hướng dẫn về quản lý an toàn hệ thống thông tin y tế và đang chuẩn bị tài liệu cho các cơ sở y tế.</v>
      </c>
    </row>
    <row r="17">
      <c r="A17" s="2" t="s">
        <v>204</v>
      </c>
      <c r="B17" s="5" t="str">
        <f>IFERROR(__xludf.DUMMYFUNCTION("GOOGLETRANSLATE(A17,""ja"",""vi"")"),"[00:10:30-00:11:00][Yamada] Việc có các chứng nhận an ninh sẽ giúp các cuộc đàm phán kinh doanh, đặc biệt là trong lĩnh vực y tế, diễn ra suôn sẻ hơn nhiều.")</f>
        <v>[00:10:30-00:11:00][Yamada] Việc có các chứng nhận an ninh sẽ giúp các cuộc đàm phán kinh doanh, đặc biệt là trong lĩnh vực y tế, diễn ra suôn sẻ hơn nhiều.</v>
      </c>
    </row>
    <row r="18">
      <c r="A18" s="2" t="s">
        <v>205</v>
      </c>
      <c r="B18" s="5" t="str">
        <f>IFERROR(__xludf.DUMMYFUNCTION("GOOGLETRANSLATE(A18,""ja"",""vi"")"),"[00:11:00-00:11:45][Tanaka] Matsumoto-san, xin hãy giải thích về thiết kế UX.")</f>
        <v>[00:11:00-00:11:45][Tanaka] Matsumoto-san, xin hãy giải thích về thiết kế UX.</v>
      </c>
    </row>
    <row r="19">
      <c r="A19" s="2" t="s">
        <v>206</v>
      </c>
      <c r="B19" s="5" t="str">
        <f>IFERROR(__xludf.DUMMYFUNCTION("GOOGLETRANSLATE(A19,""ja"",""vi"")"),"[00:11:45-00:12:45][Matsumoto] Vâng. Giao diện người dùng của AiVoice Pro đã được cải tiến đáng kể so với sản phẩm hiện tại. Nhờ các cuộc phỏng vấn người dùng và kiểm tra khả năng sử dụng lặp đi lặp lại, chúng tôi đã giảm được số bước thao tác trung bình "&amp;"xuống 40%. Chúng tôi đặc biệt tập trung vào việc tạo ra một bảng điều khiển có thể được sử dụng một cách trực quan ngay cả bởi những người không am hiểu kỹ thuật. Chúng tôi đã phân tách rõ ràng các màn hình dành cho quản trị viên và người dùng thông thườn"&amp;"g, đồng thời thiết kế giao diện được tối ưu hóa cho từng vai trò.")</f>
        <v>[00:11:45-00:12:45][Matsumoto] Vâng. Giao diện người dùng của AiVoice Pro đã được cải tiến đáng kể so với sản phẩm hiện tại. Nhờ các cuộc phỏng vấn người dùng và kiểm tra khả năng sử dụng lặp đi lặp lại, chúng tôi đã giảm được số bước thao tác trung bình xuống 40%. Chúng tôi đặc biệt tập trung vào việc tạo ra một bảng điều khiển có thể được sử dụng một cách trực quan ngay cả bởi những người không am hiểu kỹ thuật. Chúng tôi đã phân tách rõ ràng các màn hình dành cho quản trị viên và người dùng thông thường, đồng thời thiết kế giao diện được tối ưu hóa cho từng vai trò.</v>
      </c>
    </row>
    <row r="20">
      <c r="A20" s="2" t="s">
        <v>207</v>
      </c>
      <c r="B20" s="5" t="str">
        <f>IFERROR(__xludf.DUMMYFUNCTION("GOOGLETRANSLATE(A20,""ja"",""vi"")"),"[00:12:45-00:13:15][Ito] Phản ứng của khách hàng hiện tại như thế nào khi anh trình chiếu bản demo cho họ?")</f>
        <v>[00:12:45-00:13:15][Ito] Phản ứng của khách hàng hiện tại như thế nào khi anh trình chiếu bản demo cho họ?</v>
      </c>
    </row>
    <row r="21">
      <c r="A21" s="2" t="s">
        <v>208</v>
      </c>
      <c r="B21" s="5" t="str">
        <f>IFERROR(__xludf.DUMMYFUNCTION("GOOGLETRANSLATE(A21,""ja"",""vi"")"),"[00:13:15-00:14:00][Matsumoto] Trong buổi giới thiệu sản phẩm mà chúng tôi tổ chức tháng trước, chúng tôi đã nhận được rất nhiều lời khen ngợi từ mười lăm công ty tham gia. Đặc biệt, ""tính dễ sử dụng"" và ""tốc độ xử lý"" nhận được điểm cao, và 93% người"&amp;" tham gia cho biết họ muốn cân nhắc chuyển đổi từ sản phẩm hiện tại của mình.")</f>
        <v>[00:13:15-00:14:00][Matsumoto] Trong buổi giới thiệu sản phẩm mà chúng tôi tổ chức tháng trước, chúng tôi đã nhận được rất nhiều lời khen ngợi từ mười lăm công ty tham gia. Đặc biệt, "tính dễ sử dụng" và "tốc độ xử lý" nhận được điểm cao, và 93% người tham gia cho biết họ muốn cân nhắc chuyển đổi từ sản phẩm hiện tại của mình.</v>
      </c>
    </row>
    <row r="22">
      <c r="A22" s="2" t="s">
        <v>209</v>
      </c>
      <c r="B22" s="5" t="str">
        <f>IFERROR(__xludf.DUMMYFUNCTION("GOOGLETRANSLATE(A22,""ja"",""vi"")"),"[00:14:00-00:14:30][Tanaka] Đó là một kết quả tuyệt vời. Giờ thì, thưa ông Sato, xin hãy giải thích chiến lược định giá của ông.")</f>
        <v>[00:14:00-00:14:30][Tanaka] Đó là một kết quả tuyệt vời. Giờ thì, thưa ông Sato, xin hãy giải thích chiến lược định giá của ông.</v>
      </c>
    </row>
    <row r="23">
      <c r="A23" s="2" t="s">
        <v>210</v>
      </c>
      <c r="B23" s="5" t="str">
        <f>IFERROR(__xludf.DUMMYFUNCTION("GOOGLETRANSLATE(A23,""ja"",""vi"")"),"[00:14:30-00:15:30][Sato] Vâng. Chúng tôi có hai gói giá. Gói Cơ bản có giá 9.800 yên/tháng và bao gồm số lượng người dùng không giới hạn, lưu trữ đám mây và hỗ trợ cơ bản. Gói Chuyên nghiệp có giá 19.800 yên/tháng và bao gồm hỗ trợ tại chỗ, hỗ trợ chuyên"&amp;" dụng, truy cập API và bảng điều khiển phân tích.")</f>
        <v>[00:14:30-00:15:30][Sato] Vâng. Chúng tôi có hai gói giá. Gói Cơ bản có giá 9.800 yên/tháng và bao gồm số lượng người dùng không giới hạn, lưu trữ đám mây và hỗ trợ cơ bản. Gói Chuyên nghiệp có giá 19.800 yên/tháng và bao gồm hỗ trợ tại chỗ, hỗ trợ chuyên dụng, truy cập API và bảng điều khiển phân tích.</v>
      </c>
    </row>
    <row r="24">
      <c r="A24" s="2" t="s">
        <v>211</v>
      </c>
      <c r="B24" s="5" t="str">
        <f>IFERROR(__xludf.DUMMYFUNCTION("GOOGLETRANSLATE(A24,""ja"",""vi"")"),"[00:15:30-00:16:10][Tanaka] So với các đối thủ cạnh tranh thì sao?")</f>
        <v>[00:15:30-00:16:10][Tanaka] So với các đối thủ cạnh tranh thì sao?</v>
      </c>
    </row>
    <row r="25">
      <c r="A25" s="2" t="s">
        <v>212</v>
      </c>
      <c r="B25" s="5" t="str">
        <f>IFERROR(__xludf.DUMMYFUNCTION("GOOGLETRANSLATE(A25,""ja"",""vi"")"),"[00:16:10-00:17:00][Sato] So với ba đối thủ cạnh tranh chính của chúng tôi, gói cơ bản của chúng tôi có giá thấp hơn khoảng 10% so với mức trung bình thị trường. Gói chuyên nghiệp của chúng tôi có mức giá tương đương với mức trung bình thị trường, nhưng l"&amp;"ại có nhiều ưu điểm về chức năng. Đặc biệt, việc bao gồm hỗ trợ tại chỗ theo tiêu chuẩn là một tính năng mà các đối thủ của chúng tôi không có.")</f>
        <v>[00:16:10-00:17:00][Sato] So với ba đối thủ cạnh tranh chính của chúng tôi, gói cơ bản của chúng tôi có giá thấp hơn khoảng 10% so với mức trung bình thị trường. Gói chuyên nghiệp của chúng tôi có mức giá tương đương với mức trung bình thị trường, nhưng lại có nhiều ưu điểm về chức năng. Đặc biệt, việc bao gồm hỗ trợ tại chỗ theo tiêu chuẩn là một tính năng mà các đối thủ của chúng tôi không có.</v>
      </c>
    </row>
    <row r="26">
      <c r="A26" s="2" t="s">
        <v>213</v>
      </c>
      <c r="B26" s="5" t="str">
        <f>IFERROR(__xludf.DUMMYFUNCTION("GOOGLETRANSLATE(A26,""ja"",""vi"")"),"[00:17:00-00:17:40][Yamada] Có bất kỳ khoản giảm giá nào cho hợp đồng hàng năm không? Các bạn có xem xét ưu đãi cho khách hàng hiện tại chuyển sang sử dụng dịch vụ của mình không?")</f>
        <v>[00:17:00-00:17:40][Yamada] Có bất kỳ khoản giảm giá nào cho hợp đồng hàng năm không? Các bạn có xem xét ưu đãi cho khách hàng hiện tại chuyển sang sử dụng dịch vụ của mình không?</v>
      </c>
    </row>
    <row r="27">
      <c r="A27" s="2" t="s">
        <v>214</v>
      </c>
      <c r="B27" s="5" t="str">
        <f>IFERROR(__xludf.DUMMYFUNCTION("GOOGLETRANSLATE(A27,""ja"",""vi"")"),"[00:17:40-00:18:25][Sato] Chúng tôi sẽ giảm giá 15% cho các khoản thanh toán một lần hàng năm. Đối với khách hàng hiện tại, chúng tôi dự định cung cấp chương trình ưu đãi chuyển đổi với thời gian chuyển đổi miễn phí ba tháng.")</f>
        <v>[00:17:40-00:18:25][Sato] Chúng tôi sẽ giảm giá 15% cho các khoản thanh toán một lần hàng năm. Đối với khách hàng hiện tại, chúng tôi dự định cung cấp chương trình ưu đãi chuyển đổi với thời gian chuyển đổi miễn phí ba tháng.</v>
      </c>
    </row>
    <row r="28">
      <c r="A28" s="2" t="s">
        <v>215</v>
      </c>
      <c r="B28" s="5" t="str">
        <f>IFERROR(__xludf.DUMMYFUNCTION("GOOGLETRANSLATE(A28,""ja"",""vi"")"),"[00:18:25-00:18:55][Tanaka] Việc ưu tiên cho quá trình chuyển đổi là rất quan trọng. Giữ chân khách hàng hiện có là ưu tiên hàng đầu.")</f>
        <v>[00:18:25-00:18:55][Tanaka] Việc ưu tiên cho quá trình chuyển đổi là rất quan trọng. Giữ chân khách hàng hiện có là ưu tiên hàng đầu.</v>
      </c>
    </row>
    <row r="29">
      <c r="A29" s="2" t="s">
        <v>216</v>
      </c>
      <c r="B29" s="5" t="str">
        <f>IFERROR(__xludf.DUMMYFUNCTION("GOOGLETRANSLATE(A29,""ja"",""vi"")"),"[00:18:55-00:19:40][Sato] Đúng vậy. Giá trị hợp đồng trung bình hàng năm từ các khách hàng hiện tại là khoảng 800.000 yên với sản phẩm hiện tại. Sau khi chuyển sang AiVoice Pro, chúng tôi kỳ vọng giá trị hợp đồng trung bình sẽ tăng lên 1,3 triệu yên nhờ v"&amp;"iệc mở rộng các tính năng.")</f>
        <v>[00:18:55-00:19:40][Sato] Đúng vậy. Giá trị hợp đồng trung bình hàng năm từ các khách hàng hiện tại là khoảng 800.000 yên với sản phẩm hiện tại. Sau khi chuyển sang AiVoice Pro, chúng tôi kỳ vọng giá trị hợp đồng trung bình sẽ tăng lên 1,3 triệu yên nhờ việc mở rộng các tính năng.</v>
      </c>
    </row>
    <row r="30">
      <c r="A30" s="2" t="s">
        <v>217</v>
      </c>
      <c r="B30" s="5" t="str">
        <f>IFERROR(__xludf.DUMMYFUNCTION("GOOGLETRANSLATE(A30,""ja"",""vi"")"),"[00:19:40-00:20:10][Tanaka] Như vậy, chi tiêu trung bình của khách hàng sẽ tăng hơn 60%. Đó là một mức tăng đáng kể.")</f>
        <v>[00:19:40-00:20:10][Tanaka] Như vậy, chi tiêu trung bình của khách hàng sẽ tăng hơn 60%. Đó là một mức tăng đáng kể.</v>
      </c>
    </row>
    <row r="31">
      <c r="A31" s="2" t="s">
        <v>218</v>
      </c>
      <c r="B31" s="5" t="str">
        <f>IFERROR(__xludf.DUMMYFUNCTION("GOOGLETRANSLATE(A31,""ja"",""vi"")"),"[00:20:10-00:21:00][Sato] Vâng. Mục tiêu doanh thu của chúng tôi trong năm đầu tiên là 1,2 tỷ yên. Con số này là sự kết hợp giữa mục tiêu thu hút 1.000 công ty, việc chuyển đổi khách hàng hiện có và sự tăng trưởng chi tiêu trung bình của khách hàng.")</f>
        <v>[00:20:10-00:21:00][Sato] Vâng. Mục tiêu doanh thu của chúng tôi trong năm đầu tiên là 1,2 tỷ yên. Con số này là sự kết hợp giữa mục tiêu thu hút 1.000 công ty, việc chuyển đổi khách hàng hiện có và sự tăng trưởng chi tiêu trung bình của khách hàng.</v>
      </c>
    </row>
    <row r="32">
      <c r="A32" s="2" t="s">
        <v>219</v>
      </c>
      <c r="B32" s="5" t="str">
        <f>IFERROR(__xludf.DUMMYFUNCTION("GOOGLETRANSLATE(A32,""ja"",""vi"")"),"[00:21:00-00:21:30][Tanaka] 1,2 tỷ yên là một mục tiêu đầy tham vọng, nhưng tôi nghĩ chúng ta có thể đạt được. Giờ chúng ta hãy chuyển sang kế hoạch ra mắt thị trường. Yamada, mời.")</f>
        <v>[00:21:00-00:21:30][Tanaka] 1,2 tỷ yên là một mục tiêu đầy tham vọng, nhưng tôi nghĩ chúng ta có thể đạt được. Giờ chúng ta hãy chuyển sang kế hoạch ra mắt thị trường. Yamada, mời.</v>
      </c>
    </row>
    <row r="33">
      <c r="A33" s="2" t="s">
        <v>220</v>
      </c>
      <c r="B33" s="5" t="str">
        <f>IFERROR(__xludf.DUMMYFUNCTION("GOOGLETRANSLATE(A33,""ja"",""vi"")"),"[00:21:30-00:22:30][Yamada] Đây là về lịch trình ra mắt. Ngày phát hành chính thức dự kiến ​​là ngày 1 tháng 9 năm 2026. Lịch trình trước đó như sau: bản beta kín giới hạn vào tháng 6 (50 khách hàng hiện có), bản beta mở vào tháng 7 (yêu cầu đăng ký, tối "&amp;"đa 200 công ty), điều chỉnh sản phẩm cuối cùng và đào tạo đối tác vào tháng 8, và sau đó là ra mắt chính thức vào ngày 1 tháng 9.")</f>
        <v>[00:21:30-00:22:30][Yamada] Đây là về lịch trình ra mắt. Ngày phát hành chính thức dự kiến ​​là ngày 1 tháng 9 năm 2026. Lịch trình trước đó như sau: bản beta kín giới hạn vào tháng 6 (50 khách hàng hiện có), bản beta mở vào tháng 7 (yêu cầu đăng ký, tối đa 200 công ty), điều chỉnh sản phẩm cuối cùng và đào tạo đối tác vào tháng 8, và sau đó là ra mắt chính thức vào ngày 1 tháng 9.</v>
      </c>
    </row>
    <row r="34">
      <c r="A34" s="2" t="s">
        <v>221</v>
      </c>
      <c r="B34" s="5" t="str">
        <f>IFERROR(__xludf.DUMMYFUNCTION("GOOGLETRANSLATE(A34,""ja"",""vi"")"),"[00:22:30-00:23:00][Suzuki] Mục tiêu chất lượng cho phiên bản beta là gì?")</f>
        <v>[00:22:30-00:23:00][Suzuki] Mục tiêu chất lượng cho phiên bản beta là gì?</v>
      </c>
    </row>
    <row r="35">
      <c r="A35" s="2" t="s">
        <v>222</v>
      </c>
      <c r="B35" s="5" t="str">
        <f>IFERROR(__xludf.DUMMYFUNCTION("GOOGLETRANSLATE(A35,""ja"",""vi"")"),"[00:23:00-00:23:50][Yamada] Duy trì tỷ lệ phản hồi báo cáo lỗi 99% và tỷ lệ thời gian hoạt động 99,9% trong giai đoạn thử nghiệm beta kín là yêu cầu tối thiểu. Chúng tôi sẽ chỉ chuyển sang giai đoạn thử nghiệm beta mở sau khi đáp ứng được các điều kiện nà"&amp;"y.")</f>
        <v>[00:23:00-00:23:50][Yamada] Duy trì tỷ lệ phản hồi báo cáo lỗi 99% và tỷ lệ thời gian hoạt động 99,9% trong giai đoạn thử nghiệm beta kín là yêu cầu tối thiểu. Chúng tôi sẽ chỉ chuyển sang giai đoạn thử nghiệm beta mở sau khi đáp ứng được các điều kiện này.</v>
      </c>
    </row>
    <row r="36">
      <c r="A36" s="2" t="s">
        <v>223</v>
      </c>
      <c r="B36" s="5" t="str">
        <f>IFERROR(__xludf.DUMMYFUNCTION("GOOGLETRANSLATE(A36,""ja"",""vi"")"),"[00:23:50-00:24:30][Tanaka] Kế hoạch quảng bá cho buổi ra mắt là gì?")</f>
        <v>[00:23:50-00:24:30][Tanaka] Kế hoạch quảng bá cho buổi ra mắt là gì?</v>
      </c>
    </row>
    <row r="37">
      <c r="A37" s="2" t="s">
        <v>224</v>
      </c>
      <c r="B37" s="5" t="str">
        <f>IFERROR(__xludf.DUMMYFUNCTION("GOOGLETRANSLATE(A37,""ja"",""vi"")"),"[00:24:30-00:25:30][Nakamura] Chúng tôi sẽ tổ chức sự kiện ra mắt tại Tokyo vào ngày 1 tháng 9. Đồng thời với thông cáo báo chí, chúng tôi sẽ thuyết trình cho các phương tiện truyền thông lớn và cung cấp bản demo cho những người có tầm ảnh hưởng. Trong th"&amp;"áng đầu tiên sau khi ra mắt, chúng tôi sẽ thực hiện quảng cáo mạnh mẽ trên mạng xã hội. Chúng tôi cũng sẽ tổ chức chuỗi hội thảo trực tuyến hai lần một tháng phối hợp với các công ty đối tác.")</f>
        <v>[00:24:30-00:25:30][Nakamura] Chúng tôi sẽ tổ chức sự kiện ra mắt tại Tokyo vào ngày 1 tháng 9. Đồng thời với thông cáo báo chí, chúng tôi sẽ thuyết trình cho các phương tiện truyền thông lớn và cung cấp bản demo cho những người có tầm ảnh hưởng. Trong tháng đầu tiên sau khi ra mắt, chúng tôi sẽ thực hiện quảng cáo mạnh mẽ trên mạng xã hội. Chúng tôi cũng sẽ tổ chức chuỗi hội thảo trực tuyến hai lần một tháng phối hợp với các công ty đối tác.</v>
      </c>
    </row>
    <row r="38">
      <c r="A38" s="2" t="s">
        <v>225</v>
      </c>
      <c r="B38" s="5" t="str">
        <f>IFERROR(__xludf.DUMMYFUNCTION("GOOGLETRANSLATE(A38,""ja"",""vi"")"),"[00:25:30-00:26:00][Tanaka] Sự kiện ra mắt sẽ có quy mô như thế nào?")</f>
        <v>[00:25:30-00:26:00][Tanaka] Sự kiện ra mắt sẽ có quy mô như thế nào?</v>
      </c>
    </row>
    <row r="39">
      <c r="A39" s="2" t="s">
        <v>226</v>
      </c>
      <c r="B39" s="5" t="str">
        <f>IFERROR(__xludf.DUMMYFUNCTION("GOOGLETRANSLATE(A39,""ja"",""vi"")"),"[00:26:00-00:26:45][Nakamura] Đây sẽ là sự kiện chỉ dành cho khách mời, và chúng tôi dự kiến ​​sẽ có khoảng 300 người tham dự. Chúng tôi sẽ mời các khách hàng tiềm năng, khách hàng hiện tại, giới truyền thông và các công ty đối tác. Địa điểm dự kiến ​​là "&amp;"một khách sạn lớn ở Tokyo, và chi phí ước tính khoảng 5 triệu yên.")</f>
        <v>[00:26:00-00:26:45][Nakamura] Đây sẽ là sự kiện chỉ dành cho khách mời, và chúng tôi dự kiến ​​sẽ có khoảng 300 người tham dự. Chúng tôi sẽ mời các khách hàng tiềm năng, khách hàng hiện tại, giới truyền thông và các công ty đối tác. Địa điểm dự kiến ​​là một khách sạn lớn ở Tokyo, và chi phí ước tính khoảng 5 triệu yên.</v>
      </c>
    </row>
    <row r="40">
      <c r="A40" s="2" t="s">
        <v>227</v>
      </c>
      <c r="B40" s="5" t="str">
        <f>IFERROR(__xludf.DUMMYFUNCTION("GOOGLETRANSLATE(A40,""ja"",""vi"")"),"[00:26:45-00:27:20][Sato] Tổng ngân sách tiếp thị cho đợt ra mắt này là bao nhiêu?")</f>
        <v>[00:26:45-00:27:20][Sato] Tổng ngân sách tiếp thị cho đợt ra mắt này là bao nhiêu?</v>
      </c>
    </row>
    <row r="41">
      <c r="A41" s="2" t="s">
        <v>228</v>
      </c>
      <c r="B41" s="5" t="str">
        <f>IFERROR(__xludf.DUMMYFUNCTION("GOOGLETRANSLATE(A41,""ja"",""vi"")"),"[00:27:20-00:28:00][Nakamura] Chúng tôi dự trù tổng cộng 100 triệu yên cho hoạt động tiếp thị trong sáu tháng trước và sau khi ra mắt sản phẩm. Trong đó, 5 triệu yên dành cho sự kiện ra mắt, 60 triệu yên cho quảng cáo và 35 triệu yên cho việc tạo nội dung"&amp;" và quan hệ công chúng.")</f>
        <v>[00:27:20-00:28:00][Nakamura] Chúng tôi dự trù tổng cộng 100 triệu yên cho hoạt động tiếp thị trong sáu tháng trước và sau khi ra mắt sản phẩm. Trong đó, 5 triệu yên dành cho sự kiện ra mắt, 60 triệu yên cho quảng cáo và 35 triệu yên cho việc tạo nội dung và quan hệ công chúng.</v>
      </c>
    </row>
    <row r="42">
      <c r="A42" s="2" t="s">
        <v>229</v>
      </c>
      <c r="B42" s="5" t="str">
        <f>IFERROR(__xludf.DUMMYFUNCTION("GOOGLETRANSLATE(A42,""ja"",""vi"")"),"[00:28:00-00:28:30][Tanaka] Tôi nghĩ đó là mức đầu tư phù hợp. Cuối cùng, thưa ông Yamada, ông có thể cho chúng tôi xem phân tích rủi ro được không?")</f>
        <v>[00:28:00-00:28:30][Tanaka] Tôi nghĩ đó là mức đầu tư phù hợp. Cuối cùng, thưa ông Yamada, ông có thể cho chúng tôi xem phân tích rủi ro được không?</v>
      </c>
    </row>
    <row r="43">
      <c r="A43" s="2" t="s">
        <v>230</v>
      </c>
      <c r="B43" s="5" t="str">
        <f>IFERROR(__xludf.DUMMYFUNCTION("GOOGLETRANSLATE(A43,""ja"",""vi"")"),"[00:28:30-00:29:30][Yamada] Tôi sẽ liệt kê ba rủi ro chính. Đầu tiên là rủi ro chậm trễ phát triển. Nếu phát hiện ra vấn đề nghiêm trọng nào đó trong phiên bản beta, việc ra mắt có thể bị trì hoãn. Để đối phó, chúng tôi sẽ thiết lập các tiêu chí vào cuối "&amp;"tháng 7 và có một hệ thống để quyết định việc hoãn lại một tháng nếu cần thiết.")</f>
        <v>[00:28:30-00:29:30][Yamada] Tôi sẽ liệt kê ba rủi ro chính. Đầu tiên là rủi ro chậm trễ phát triển. Nếu phát hiện ra vấn đề nghiêm trọng nào đó trong phiên bản beta, việc ra mắt có thể bị trì hoãn. Để đối phó, chúng tôi sẽ thiết lập các tiêu chí vào cuối tháng 7 và có một hệ thống để quyết định việc hoãn lại một tháng nếu cần thiết.</v>
      </c>
    </row>
    <row r="44">
      <c r="A44" s="2" t="s">
        <v>231</v>
      </c>
      <c r="B44" s="5" t="str">
        <f>IFERROR(__xludf.DUMMYFUNCTION("GOOGLETRANSLATE(A44,""ja"",""vi"")"),"[00:29:30-00:30:20][Yamada] Rủi ro thứ hai là hành động của các đối thủ cạnh tranh. Các công ty công nghệ lớn có thể tung ra các sản phẩm tương tự. Để đối phó, chúng tôi sẽ tận dụng tối đa thế mạnh của mình: hệ thống hỗ trợ tập trung vào tiếng Nhật và chu"&amp;"yên biệt theo ngành. Chúng tôi sẽ tạo sự khác biệt không chỉ về giá cả mà còn về chất lượng và dịch vụ.")</f>
        <v>[00:29:30-00:30:20][Yamada] Rủi ro thứ hai là hành động của các đối thủ cạnh tranh. Các công ty công nghệ lớn có thể tung ra các sản phẩm tương tự. Để đối phó, chúng tôi sẽ tận dụng tối đa thế mạnh của mình: hệ thống hỗ trợ tập trung vào tiếng Nhật và chuyên biệt theo ngành. Chúng tôi sẽ tạo sự khác biệt không chỉ về giá cả mà còn về chất lượng và dịch vụ.</v>
      </c>
    </row>
    <row r="45">
      <c r="A45" s="2" t="s">
        <v>232</v>
      </c>
      <c r="B45" s="5" t="str">
        <f>IFERROR(__xludf.DUMMYFUNCTION("GOOGLETRANSLATE(A45,""ja"",""vi"")"),"[00:30:20-00:31:10][Yamada] Thứ ba là rủi ro chấp nhận của thị trường. Có khả năng giá cả sẽ bị đánh giá là quá cao. Để khắc phục điều này, hãy chuẩn bị trước các nghiên cứu trường hợp thể hiện rõ ràng ROI để có thể giải thích lợi tức đầu tư bằng số liệu.")</f>
        <v>[00:30:20-00:31:10][Yamada] Thứ ba là rủi ro chấp nhận của thị trường. Có khả năng giá cả sẽ bị đánh giá là quá cao. Để khắc phục điều này, hãy chuẩn bị trước các nghiên cứu trường hợp thể hiện rõ ràng ROI để có thể giải thích lợi tức đầu tư bằng số liệu.</v>
      </c>
    </row>
    <row r="46">
      <c r="A46" s="2" t="s">
        <v>233</v>
      </c>
      <c r="B46" s="5" t="str">
        <f>IFERROR(__xludf.DUMMYFUNCTION("GOOGLETRANSLATE(A46,""ja"",""vi"")"),"[00:31:10-00:31:50][Suzuki] Cho phép tôi bổ sung thêm một rủi ro kỹ thuật. Có nguy cơ quá tải cơ sở hạ tầng nếu một lượng lớn người dùng tham gia bản beta cùng một lúc. Hiện tại chúng tôi đang tiến hành kiểm tra tải, nhưng dữ liệu đo được thực tế từ bản b"&amp;"eta kín vào tháng 6 sẽ rất quan trọng.")</f>
        <v>[00:31:10-00:31:50][Suzuki] Cho phép tôi bổ sung thêm một rủi ro kỹ thuật. Có nguy cơ quá tải cơ sở hạ tầng nếu một lượng lớn người dùng tham gia bản beta cùng một lúc. Hiện tại chúng tôi đang tiến hành kiểm tra tải, nhưng dữ liệu đo được thực tế từ bản beta kín vào tháng 6 sẽ rất quan trọng.</v>
      </c>
    </row>
    <row r="47">
      <c r="A47" s="2" t="s">
        <v>234</v>
      </c>
      <c r="B47" s="5" t="str">
        <f>IFERROR(__xludf.DUMMYFUNCTION("GOOGLETRANSLATE(A47,""ja"",""vi"")"),"[00:31:50-00:32:20][Tanaka] Anh sẽ xử lý rủi ro đó như thế nào?")</f>
        <v>[00:31:50-00:32:20][Tanaka] Anh sẽ xử lý rủi ro đó như thế nào?</v>
      </c>
    </row>
    <row r="48">
      <c r="A48" s="2" t="s">
        <v>235</v>
      </c>
      <c r="B48" s="5" t="str">
        <f>IFERROR(__xludf.DUMMYFUNCTION("GOOGLETRANSLATE(A48,""ja"",""vi"")"),"[00:32:20-00:33:00][Suzuki] Chúng tôi sẽ tăng dần số lượng công ty tham gia vào giai đoạn thử nghiệm mở. Trong hai tuần đầu tiên, sẽ có 50 công ty, sau đó là 100, và cuối cùng là 200. Điều này sẽ giúp chúng tôi giảm thiểu tác động nếu có bất kỳ vấn đề nào"&amp;" phát sinh.")</f>
        <v>[00:32:20-00:33:00][Suzuki] Chúng tôi sẽ tăng dần số lượng công ty tham gia vào giai đoạn thử nghiệm mở. Trong hai tuần đầu tiên, sẽ có 50 công ty, sau đó là 100, và cuối cùng là 200. Điều này sẽ giúp chúng tôi giảm thiểu tác động nếu có bất kỳ vấn đề nào phát sinh.</v>
      </c>
    </row>
    <row r="49">
      <c r="A49" s="2" t="s">
        <v>236</v>
      </c>
      <c r="B49" s="5" t="str">
        <f>IFERROR(__xludf.DUMMYFUNCTION("GOOGLETRANSLATE(A49,""ja"",""vi"")"),"[00:33:00-00:33:30][Tanaka] Đó là một cách xử lý thông minh. Xin hãy tiếp tục theo phương pháp đó.")</f>
        <v>[00:33:00-00:33:30][Tanaka] Đó là một cách xử lý thông minh. Xin hãy tiếp tục theo phương pháp đó.</v>
      </c>
    </row>
    <row r="50">
      <c r="A50" s="2" t="s">
        <v>237</v>
      </c>
      <c r="B50" s="5" t="str">
        <f>IFERROR(__xludf.DUMMYFUNCTION("GOOGLETRANSLATE(A50,""ja"",""vi"")"),"[00:33:30-00:34:20][Sato] Cho phép tôi xác nhận thêm về rủi ro tài chính. Vui lòng cho tôi biết tổng số vốn đầu tư cho việc phát triển và ra mắt trong năm đầu tiên, và điểm hòa vốn.")</f>
        <v>[00:33:30-00:34:20][Sato] Cho phép tôi xác nhận thêm về rủi ro tài chính. Vui lòng cho tôi biết tổng số vốn đầu tư cho việc phát triển và ra mắt trong năm đầu tiên, và điểm hòa vốn.</v>
      </c>
    </row>
    <row r="51">
      <c r="A51" s="2" t="s">
        <v>238</v>
      </c>
      <c r="B51" s="5" t="str">
        <f>IFERROR(__xludf.DUMMYFUNCTION("GOOGLETRANSLATE(A51,""ja"",""vi"")"),"[00:34:20-00:35:20][Yamada] Tổng vốn đầu tư khoảng 350 triệu yên. Cụ thể, 200 triệu yên dành cho chi phí phát triển, 100 triệu yên cho chi phí tiếp thị và 50 triệu yên cho chi phí phát triển cơ sở hạ tầng. Điểm hòa vốn là khi thu hút được khoảng 400 công "&amp;"ty theo hợp đồng hàng tháng. Dựa trên các dự báo hiện tại, chúng tôi kỳ vọng sẽ vượt điểm hòa vốn trong vòng sáu tháng kể từ khi ra mắt.")</f>
        <v>[00:34:20-00:35:20][Yamada] Tổng vốn đầu tư khoảng 350 triệu yên. Cụ thể, 200 triệu yên dành cho chi phí phát triển, 100 triệu yên cho chi phí tiếp thị và 50 triệu yên cho chi phí phát triển cơ sở hạ tầng. Điểm hòa vốn là khi thu hút được khoảng 400 công ty theo hợp đồng hàng tháng. Dựa trên các dự báo hiện tại, chúng tôi kỳ vọng sẽ vượt điểm hòa vốn trong vòng sáu tháng kể từ khi ra mắt.</v>
      </c>
    </row>
    <row r="52">
      <c r="A52" s="2" t="s">
        <v>239</v>
      </c>
      <c r="B52" s="5" t="str">
        <f>IFERROR(__xludf.DUMMYFUNCTION("GOOGLETRANSLATE(A52,""ja"",""vi"")"),"[00:35:20-00:35:50][Sato] Tôi nghĩ có thể đạt điểm hòa vốn trong vòng sáu tháng.")</f>
        <v>[00:35:20-00:35:50][Sato] Tôi nghĩ có thể đạt điểm hòa vốn trong vòng sáu tháng.</v>
      </c>
    </row>
    <row r="53">
      <c r="A53" s="2" t="s">
        <v>240</v>
      </c>
      <c r="B53" s="5" t="str">
        <f>IFERROR(__xludf.DUMMYFUNCTION("GOOGLETRANSLATE(A53,""ja"",""vi"")"),"[00:35:50-00:36:30][Tanaka] Chúng ta hãy tóm tắt các nội dung cần làm hôm nay. Suzuki, vui lòng hoàn tất công tác chuẩn bị kỹ thuật và kiểm thử tải cho bản beta kín tháng 6 trước ngày 1 tháng 6.")</f>
        <v>[00:35:50-00:36:30][Tanaka] Chúng ta hãy tóm tắt các nội dung cần làm hôm nay. Suzuki, vui lòng hoàn tất công tác chuẩn bị kỹ thuật và kiểm thử tải cho bản beta kín tháng 6 trước ngày 1 tháng 6.</v>
      </c>
    </row>
    <row r="54">
      <c r="A54" s="2" t="s">
        <v>241</v>
      </c>
      <c r="B54" s="5" t="str">
        <f>IFERROR(__xludf.DUMMYFUNCTION("GOOGLETRANSLATE(A54,""ja"",""vi"")"),"[00:36:30-00:36:45][Suzuki] Đã hiểu.")</f>
        <v>[00:36:30-00:36:45][Suzuki] Đã hiểu.</v>
      </c>
    </row>
    <row r="55">
      <c r="A55" s="2" t="s">
        <v>242</v>
      </c>
      <c r="B55" s="5" t="str">
        <f>IFERROR(__xludf.DUMMYFUNCTION("GOOGLETRANSLATE(A55,""ja"",""vi"")"),"[00:36:45-00:37:25][Tanaka] Sato-san, vui lòng hoàn tất việc lựa chọn địa điểm và hợp đồng cho sự kiện ra mắt trước cuối tháng 5. Ngoài ra, vui lòng chuẩn bị kế hoạch tài chính hàng tháng cho năm đầu tiên vào tuần tới.")</f>
        <v>[00:36:45-00:37:25][Tanaka] Sato-san, vui lòng hoàn tất việc lựa chọn địa điểm và hợp đồng cho sự kiện ra mắt trước cuối tháng 5. Ngoài ra, vui lòng chuẩn bị kế hoạch tài chính hàng tháng cho năm đầu tiên vào tuần tới.</v>
      </c>
    </row>
    <row r="56">
      <c r="A56" s="2" t="s">
        <v>243</v>
      </c>
      <c r="B56" s="5" t="str">
        <f>IFERROR(__xludf.DUMMYFUNCTION("GOOGLETRANSLATE(A56,""ja"",""vi"")"),"[00:37:25-00:37:40][Sato] Đã hiểu.")</f>
        <v>[00:37:25-00:37:40][Sato] Đã hiểu.</v>
      </c>
    </row>
    <row r="57">
      <c r="A57" s="2" t="s">
        <v>244</v>
      </c>
      <c r="B57" s="5" t="str">
        <f>IFERROR(__xludf.DUMMYFUNCTION("GOOGLETRANSLATE(A57,""ja"",""vi"")"),"[00:37:40-00:38:15][Tanaka] Yamada-san, vui lòng hoàn tất việc lựa chọn 50 công ty khách hàng tham gia bản beta kín và gửi thư mời trước cuối tuần này.")</f>
        <v>[00:37:40-00:38:15][Tanaka] Yamada-san, vui lòng hoàn tất việc lựa chọn 50 công ty khách hàng tham gia bản beta kín và gửi thư mời trước cuối tuần này.</v>
      </c>
    </row>
    <row r="58">
      <c r="A58" s="2" t="s">
        <v>245</v>
      </c>
      <c r="B58" s="5" t="str">
        <f>IFERROR(__xludf.DUMMYFUNCTION("GOOGLETRANSLATE(A58,""ja"",""vi"")"),"[00:38:15-00:38:30][Yamada] Đã hiểu.")</f>
        <v>[00:38:15-00:38:30][Yamada] Đã hiểu.</v>
      </c>
    </row>
    <row r="59">
      <c r="A59" s="2" t="s">
        <v>246</v>
      </c>
      <c r="B59" s="5" t="str">
        <f>IFERROR(__xludf.DUMMYFUNCTION("GOOGLETRANSLATE(A59,""ja"",""vi"")"),"[00:38:30-00:39:10][Tanaka] Matsumoto, vui lòng hoàn thành thiết kế biểu mẫu thu thập phản hồi giao diện người dùng phiên bản beta và bảng điều khiển phân tích vào tuần tới.")</f>
        <v>[00:38:30-00:39:10][Tanaka] Matsumoto, vui lòng hoàn thành thiết kế biểu mẫu thu thập phản hồi giao diện người dùng phiên bản beta và bảng điều khiển phân tích vào tuần tới.</v>
      </c>
    </row>
    <row r="60">
      <c r="A60" s="2" t="s">
        <v>247</v>
      </c>
      <c r="B60" s="5" t="str">
        <f>IFERROR(__xludf.DUMMYFUNCTION("GOOGLETRANSLATE(A60,""ja"",""vi"")"),"[00:39:10-00:39:25][Matsumoto] Vâng, đã hiểu.")</f>
        <v>[00:39:10-00:39:25][Matsumoto] Vâng, đã hiểu.</v>
      </c>
    </row>
    <row r="61">
      <c r="A61" s="2" t="s">
        <v>248</v>
      </c>
      <c r="B61" s="5" t="str">
        <f>IFERROR(__xludf.DUMMYFUNCTION("GOOGLETRANSLATE(A61,""ja"",""vi"")"),"[00:39:25-00:40:05][Tanaka] Nakamura-san, vui lòng gửi bản thảo đầu tiên của danh sách khách mời và thư thông báo cho sự kiện ra mắt vào cuối tuần tới.")</f>
        <v>[00:39:25-00:40:05][Tanaka] Nakamura-san, vui lòng gửi bản thảo đầu tiên của danh sách khách mời và thư thông báo cho sự kiện ra mắt vào cuối tuần tới.</v>
      </c>
    </row>
    <row r="62">
      <c r="A62" s="2" t="s">
        <v>249</v>
      </c>
      <c r="B62" s="5" t="str">
        <f>IFERROR(__xludf.DUMMYFUNCTION("GOOGLETRANSLATE(A62,""ja"",""vi"")"),"[00:40:05-00:40:20][Nakamura] Đã hiểu.")</f>
        <v>[00:40:05-00:40:20][Nakamura] Đã hiểu.</v>
      </c>
    </row>
    <row r="63">
      <c r="A63" s="2" t="s">
        <v>250</v>
      </c>
      <c r="B63" s="5" t="str">
        <f>IFERROR(__xludf.DUMMYFUNCTION("GOOGLETRANSLATE(A63,""ja"",""vi"")"),"[00:40:20-00:41:00][Tanaka] Tôi sẽ trình bày kế hoạch ra mắt AiVoice Pro trước hội đồng quản trị vào thứ Năm tuần tới. Vui lòng gửi cho tôi bản tóm tắt một trang về các phần công việc của mỗi người trước cuối tuần này.")</f>
        <v>[00:40:20-00:41:00][Tanaka] Tôi sẽ trình bày kế hoạch ra mắt AiVoice Pro trước hội đồng quản trị vào thứ Năm tuần tới. Vui lòng gửi cho tôi bản tóm tắt một trang về các phần công việc của mỗi người trước cuối tuần này.</v>
      </c>
    </row>
    <row r="64">
      <c r="A64" s="2" t="s">
        <v>251</v>
      </c>
      <c r="B64" s="5" t="str">
        <f>IFERROR(__xludf.DUMMYFUNCTION("GOOGLETRANSLATE(A64,""ja"",""vi"")"),"[00:41:00-00:41:35][Suzuki] Tôi nghĩ chúng ta cần phải giải thích tính khả thi về mặt kỹ thuật tại cuộc họp hội đồng quản trị. Tôi sẽ giúp chuẩn bị bản tóm tắt kỹ thuật.")</f>
        <v>[00:41:00-00:41:35][Suzuki] Tôi nghĩ chúng ta cần phải giải thích tính khả thi về mặt kỹ thuật tại cuộc họp hội đồng quản trị. Tôi sẽ giúp chuẩn bị bản tóm tắt kỹ thuật.</v>
      </c>
    </row>
    <row r="65">
      <c r="A65" s="2" t="s">
        <v>252</v>
      </c>
      <c r="B65" s="5" t="str">
        <f>IFERROR(__xludf.DUMMYFUNCTION("GOOGLETRANSLATE(A65,""ja"",""vi"")"),"[00:41:35-00:42:00][Tanaka] Cảm ơn. Suzuki sẽ phụ trách phần kỹ thuật.")</f>
        <v>[00:41:35-00:42:00][Tanaka] Cảm ơn. Suzuki sẽ phụ trách phần kỹ thuật.</v>
      </c>
    </row>
    <row r="66">
      <c r="A66" s="2" t="s">
        <v>253</v>
      </c>
      <c r="B66" s="5" t="str">
        <f>IFERROR(__xludf.DUMMYFUNCTION("GOOGLETRANSLATE(A66,""ja"",""vi"")"),"[00:42:00-00:42:40][Yamada] Tôi nghĩ chúng ta cũng nên bổ sung thêm phần phân tích cạnh tranh. Bối cảnh thị trường giải thích lý do tại sao chúng ta ra mắt sản phẩm vào thời điểm cụ thể này sẽ rất quan trọng đối với hội đồng quản trị.")</f>
        <v>[00:42:00-00:42:40][Yamada] Tôi nghĩ chúng ta cũng nên bổ sung thêm phần phân tích cạnh tranh. Bối cảnh thị trường giải thích lý do tại sao chúng ta ra mắt sản phẩm vào thời điểm cụ thể này sẽ rất quan trọng đối với hội đồng quản trị.</v>
      </c>
    </row>
    <row r="67">
      <c r="A67" s="2" t="s">
        <v>254</v>
      </c>
      <c r="B67" s="5" t="str">
        <f>IFERROR(__xludf.DUMMYFUNCTION("GOOGLETRANSLATE(A67,""ja"",""vi"")"),"[00:42:40-00:43:05][Tanaka] Đó là một điểm hay. Yamada, hãy chuẩn bị khoảng ba slide về phân tích thị trường và định vị cạnh tranh.")</f>
        <v>[00:42:40-00:43:05][Tanaka] Đó là một điểm hay. Yamada, hãy chuẩn bị khoảng ba slide về phân tích thị trường và định vị cạnh tranh.</v>
      </c>
    </row>
    <row r="68">
      <c r="A68" s="2" t="s">
        <v>255</v>
      </c>
      <c r="B68" s="5" t="str">
        <f>IFERROR(__xludf.DUMMYFUNCTION("GOOGLETRANSLATE(A68,""ja"",""vi"")"),"[00:43:05-00:43:30][Yamada] Đã hiểu.")</f>
        <v>[00:43:05-00:43:30][Yamada] Đã hiểu.</v>
      </c>
    </row>
    <row r="69">
      <c r="A69" s="2" t="s">
        <v>256</v>
      </c>
      <c r="B69" s="5" t="str">
        <f>IFERROR(__xludf.DUMMYFUNCTION("GOOGLETRANSLATE(A69,""ja"",""vi"")"),"[00:43:30-00:44:20][Sato] Tôi sẽ phụ trách phần tóm tắt tài chính. Phần này sẽ bao gồm tính toán ROI và phân tích điểm hòa vốn. Đặc biệt, tôi sẽ chỉ rõ thời gian hoàn vốn và tỷ suất lợi nhuận nội bộ.")</f>
        <v>[00:43:30-00:44:20][Sato] Tôi sẽ phụ trách phần tóm tắt tài chính. Phần này sẽ bao gồm tính toán ROI và phân tích điểm hòa vốn. Đặc biệt, tôi sẽ chỉ rõ thời gian hoàn vốn và tỷ suất lợi nhuận nội bộ.</v>
      </c>
    </row>
    <row r="70">
      <c r="A70" s="2" t="s">
        <v>257</v>
      </c>
      <c r="B70" s="5" t="str">
        <f>IFERROR(__xludf.DUMMYFUNCTION("GOOGLETRANSLATE(A70,""ja"",""vi"")"),"[00:44:20-00:44:50][Tanaka] Cảm ơn. Vui lòng gửi cho tôi tài liệu cuộc họp hội đồng quản trị vào sáng thứ Ba tới.")</f>
        <v>[00:44:20-00:44:50][Tanaka] Cảm ơn. Vui lòng gửi cho tôi tài liệu cuộc họp hội đồng quản trị vào sáng thứ Ba tới.</v>
      </c>
    </row>
    <row r="71">
      <c r="A71" s="2" t="s">
        <v>258</v>
      </c>
      <c r="B71" s="5" t="str">
        <f>IFERROR(__xludf.DUMMYFUNCTION("GOOGLETRANSLATE(A71,""ja"",""vi"")"),"[00:44:50-00:45:30][Matsumoto] Chúng ta có nên đề cập đến trải nghiệm người dùng không? Tôi nghĩ sẽ hiệu quả nếu trình bày các tính năng giao diện người dùng từ góc độ khác biệt cạnh tranh.")</f>
        <v>[00:44:50-00:45:30][Matsumoto] Chúng ta có nên đề cập đến trải nghiệm người dùng không? Tôi nghĩ sẽ hiệu quả nếu trình bày các tính năng giao diện người dùng từ góc độ khác biệt cạnh tranh.</v>
      </c>
    </row>
    <row r="72">
      <c r="A72" s="2" t="s">
        <v>259</v>
      </c>
      <c r="B72" s="5" t="str">
        <f>IFERROR(__xludf.DUMMYFUNCTION("GOOGLETRANSLATE(A72,""ja"",""vi"")"),"[00:45:30-00:46:00][Tanaka] Tốt lắm. Hãy chuẩn bị một video demo dài hai phút. Chúng ta cũng sẽ cho ban giám đốc xem cách nó hoạt động thực tế.")</f>
        <v>[00:45:30-00:46:00][Tanaka] Tốt lắm. Hãy chuẩn bị một video demo dài hai phút. Chúng ta cũng sẽ cho ban giám đốc xem cách nó hoạt động thực tế.</v>
      </c>
    </row>
    <row r="73">
      <c r="A73" s="2" t="s">
        <v>260</v>
      </c>
      <c r="B73" s="5" t="str">
        <f>IFERROR(__xludf.DUMMYFUNCTION("GOOGLETRANSLATE(A73,""ja"",""vi"")"),"[00:46:00-00:46:25][Matsumoto] Đã hiểu. Tôi sẽ chỉnh sửa và chuẩn bị video nguyên mẫu hiện có.")</f>
        <v>[00:46:00-00:46:25][Matsumoto] Đã hiểu. Tôi sẽ chỉnh sửa và chuẩn bị video nguyên mẫu hiện có.</v>
      </c>
    </row>
    <row r="74">
      <c r="A74" s="2" t="s">
        <v>261</v>
      </c>
      <c r="B74" s="5" t="str">
        <f>IFERROR(__xludf.DUMMYFUNCTION("GOOGLETRANSLATE(A74,""ja"",""vi"")"),"[00:46:25-00:47:10][Tanaka] Nhìn chung, tôi nghĩ kế hoạch đang tiến triển thuận lợi. Tuy nhiên, chúng ta nhất định phải tuân thủ thời hạn ngày 1 tháng 9. Hãy đảm bảo chúng ta xác định rõ mục tiêu của từng giai đoạn để đạt được điều đó.")</f>
        <v>[00:46:25-00:47:10][Tanaka] Nhìn chung, tôi nghĩ kế hoạch đang tiến triển thuận lợi. Tuy nhiên, chúng ta nhất định phải tuân thủ thời hạn ngày 1 tháng 9. Hãy đảm bảo chúng ta xác định rõ mục tiêu của từng giai đoạn để đạt được điều đó.</v>
      </c>
    </row>
    <row r="75">
      <c r="A75" s="2" t="s">
        <v>262</v>
      </c>
      <c r="B75" s="5" t="str">
        <f>IFERROR(__xludf.DUMMYFUNCTION("GOOGLETRANSLATE(A75,""ja"",""vi"")"),"[00:47:10-00:47:50][Suzuki] Là một nhóm phát triển, ưu tiên hàng đầu của chúng tôi là tuân thủ đúng tiến độ. Tuy nhiên, chúng tôi không muốn ra mắt sản phẩm với cái giá là chất lượng bị ảnh hưởng, vì vậy chúng tôi sẽ báo cáo mọi vấn đề sớm nhất có thể.")</f>
        <v>[00:47:10-00:47:50][Suzuki] Là một nhóm phát triển, ưu tiên hàng đầu của chúng tôi là tuân thủ đúng tiến độ. Tuy nhiên, chúng tôi không muốn ra mắt sản phẩm với cái giá là chất lượng bị ảnh hưởng, vì vậy chúng tôi sẽ báo cáo mọi vấn đề sớm nhất có thể.</v>
      </c>
    </row>
    <row r="76">
      <c r="A76" s="2" t="s">
        <v>263</v>
      </c>
      <c r="B76" s="5" t="str">
        <f>IFERROR(__xludf.DUMMYFUNCTION("GOOGLETRANSLATE(A76,""ja"",""vi"")"),"[00:47:50-00:48:20][Tanaka] Đó là cách tiếp cận đúng đắn. Phát hiện sớm là chìa khóa để giải quyết vấn đề. Chúng ta hãy bắt đầu các cuộc họp đánh giá tiến độ hàng tuần từ tháng Sáu.")</f>
        <v>[00:47:50-00:48:20][Tanaka] Đó là cách tiếp cận đúng đắn. Phát hiện sớm là chìa khóa để giải quyết vấn đề. Chúng ta hãy bắt đầu các cuộc họp đánh giá tiến độ hàng tuần từ tháng Sáu.</v>
      </c>
    </row>
    <row r="77">
      <c r="A77" s="2" t="s">
        <v>264</v>
      </c>
      <c r="B77" s="5" t="str">
        <f>IFERROR(__xludf.DUMMYFUNCTION("GOOGLETRANSLATE(A77,""ja"",""vi"")"),"[00:48:20-00:48:55][Yamada] Tần suất các cuộc họp sẽ tăng lên, nhưng đây là một dự án quan trọng nên tôi đồng ý.")</f>
        <v>[00:48:20-00:48:55][Yamada] Tần suất các cuộc họp sẽ tăng lên, nhưng đây là một dự án quan trọng nên tôi đồng ý.</v>
      </c>
    </row>
    <row r="78">
      <c r="A78" s="2" t="s">
        <v>265</v>
      </c>
      <c r="B78" s="5" t="str">
        <f>IFERROR(__xludf.DUMMYFUNCTION("GOOGLETRANSLATE(A78,""ja"",""vi"")"),"[00:48:55-00:49:30][Nakamura] Từ góc độ tiếp thị, chúng ta cần điều chỉnh thời điểm triển khai các sáng kiến ​​của mình theo tình trạng của sản phẩm, vì vậy việc chia sẻ thông tin chặt chẽ là rất hữu ích.")</f>
        <v>[00:48:55-00:49:30][Nakamura] Từ góc độ tiếp thị, chúng ta cần điều chỉnh thời điểm triển khai các sáng kiến ​​của mình theo tình trạng của sản phẩm, vì vậy việc chia sẻ thông tin chặt chẽ là rất hữu ích.</v>
      </c>
    </row>
    <row r="79">
      <c r="A79" s="2" t="s">
        <v>266</v>
      </c>
      <c r="B79" s="5" t="str">
        <f>IFERROR(__xludf.DUMMYFUNCTION("GOOGLETRANSLATE(A79,""ja"",""vi"")"),"[00:49:30-00:50:00][Tanaka] Chúng ta sẽ tổ chức cuộc họp cập nhật tiến độ AiVoice Pro vào thứ Năm hàng tuần lúc 15:00. Mọi người được yêu cầu tham dự.")</f>
        <v>[00:49:30-00:50:00][Tanaka] Chúng ta sẽ tổ chức cuộc họp cập nhật tiến độ AiVoice Pro vào thứ Năm hàng tuần lúc 15:00. Mọi người được yêu cầu tham dự.</v>
      </c>
    </row>
    <row r="80">
      <c r="A80" s="2" t="s">
        <v>267</v>
      </c>
      <c r="B80" s="5" t="str">
        <f>IFERROR(__xludf.DUMMYFUNCTION("GOOGLETRANSLATE(A80,""ja"",""vi"")"),"[00:50:00-00:50:30][Suzuki] Đã hiểu.")</f>
        <v>[00:50:00-00:50:30][Suzuki] Đã hiểu.</v>
      </c>
    </row>
    <row r="81">
      <c r="A81" s="2" t="s">
        <v>268</v>
      </c>
      <c r="B81" s="5" t="str">
        <f>IFERROR(__xludf.DUMMYFUNCTION("GOOGLETRANSLATE(A81,""ja"",""vi"")"),"[00:50:30-00:51:10][Sato] Tôi muốn bổ sung thêm một điểm từ góc độ tài chính. Tôi đề xuất chuẩn bị một gói giá đặc biệt dành cho các công ty tham gia chương trình thử nghiệm beta. Để bù đắp cho việc tham gia chương trình beta, chúng tôi sẽ giảm giá 20% ch"&amp;"o gói chuyên nghiệp trong một năm sau khi phát hành chính thức. Đây sẽ là một động lực để khuyến khích các công ty tham gia chương trình beta.")</f>
        <v>[00:50:30-00:51:10][Sato] Tôi muốn bổ sung thêm một điểm từ góc độ tài chính. Tôi đề xuất chuẩn bị một gói giá đặc biệt dành cho các công ty tham gia chương trình thử nghiệm beta. Để bù đắp cho việc tham gia chương trình beta, chúng tôi sẽ giảm giá 20% cho gói chuyên nghiệp trong một năm sau khi phát hành chính thức. Đây sẽ là một động lực để khuyến khích các công ty tham gia chương trình beta.</v>
      </c>
    </row>
    <row r="82">
      <c r="A82" s="2" t="s">
        <v>269</v>
      </c>
      <c r="B82" s="5" t="str">
        <f>IFERROR(__xludf.DUMMYFUNCTION("GOOGLETRANSLATE(A82,""ja"",""vi"")"),"[00:51:10-00:51:45][Yamada] Đó là một ý kiến ​​hay. Nó cũng giúp khách hàng hiểu rõ hơn những lợi ích của việc tham gia sớm.")</f>
        <v>[00:51:10-00:51:45][Yamada] Đó là một ý kiến ​​hay. Nó cũng giúp khách hàng hiểu rõ hơn những lợi ích của việc tham gia sớm.</v>
      </c>
    </row>
    <row r="83">
      <c r="A83" s="2" t="s">
        <v>270</v>
      </c>
      <c r="B83" s="5" t="str">
        <f>IFERROR(__xludf.DUMMYFUNCTION("GOOGLETRANSLATE(A83,""ja"",""vi"")"),"[00:51:45-00:52:15][Tanaka] Đã duyệt. Vui lòng đưa ưu đãi giá đặc biệt dành cho phiên bản beta vào chương trình beta chính thức.")</f>
        <v>[00:51:45-00:52:15][Tanaka] Đã duyệt. Vui lòng đưa ưu đãi giá đặc biệt dành cho phiên bản beta vào chương trình beta chính thức.</v>
      </c>
    </row>
    <row r="84">
      <c r="A84" s="2" t="s">
        <v>271</v>
      </c>
      <c r="B84" s="5" t="str">
        <f>IFERROR(__xludf.DUMMYFUNCTION("GOOGLETRANSLATE(A84,""ja"",""vi"")"),"[00:52:15-00:52:50][Sato] Đã hiểu. Tôi sẽ ghi lại việc này cùng với điều khoản dịch vụ.")</f>
        <v>[00:52:15-00:52:50][Sato] Đã hiểu. Tôi sẽ ghi lại việc này cùng với điều khoản dịch vụ.</v>
      </c>
    </row>
    <row r="85">
      <c r="A85" s="2" t="s">
        <v>272</v>
      </c>
      <c r="B85" s="5" t="str">
        <f>IFERROR(__xludf.DUMMYFUNCTION("GOOGLETRANSLATE(A85,""ja"",""vi"")"),"[00:52:50-00:53:30][Matsumoto] Tôi có một câu hỏi liên quan đến UX. Ứng dụng di động sẽ được hỗ trợ ngay từ khi ra mắt chứ? Chúng tôi đã nhận được yêu cầu hỗ trợ ứng dụng di động từ một số khách hàng tiềm năng.")</f>
        <v>[00:52:50-00:53:30][Matsumoto] Tôi có một câu hỏi liên quan đến UX. Ứng dụng di động sẽ được hỗ trợ ngay từ khi ra mắt chứ? Chúng tôi đã nhận được yêu cầu hỗ trợ ứng dụng di động từ một số khách hàng tiềm năng.</v>
      </c>
    </row>
    <row r="86">
      <c r="A86" s="2" t="s">
        <v>273</v>
      </c>
      <c r="B86" s="5" t="str">
        <f>IFERROR(__xludf.DUMMYFUNCTION("GOOGLETRANSLATE(A86,""ja"",""vi"")"),"[00:53:30-00:54:15][Suzuki] Một ứng dụng di động nằm trong lộ trình phát triển, nhưng khi ra mắt, nó chỉ tương thích với trình duyệt web. Ứng dụng di động dự kiến ​​sẽ ra mắt vào cuối năm 2026.")</f>
        <v>[00:53:30-00:54:15][Suzuki] Một ứng dụng di động nằm trong lộ trình phát triển, nhưng khi ra mắt, nó chỉ tương thích với trình duyệt web. Ứng dụng di động dự kiến ​​sẽ ra mắt vào cuối năm 2026.</v>
      </c>
    </row>
    <row r="87">
      <c r="A87" s="2" t="s">
        <v>274</v>
      </c>
      <c r="B87" s="5" t="str">
        <f>IFERROR(__xludf.DUMMYFUNCTION("GOOGLETRANSLATE(A87,""ja"",""vi"")"),"[00:54:15-00:54:50][Matsumoto] Đã hiểu. Tôi sẽ đảm bảo truyền đạt điều này một cách rõ ràng khi giải thích cho khách hàng. Bằng cách cam kết khả năng tương thích với thiết bị di động như một phần của lộ trình phát triển, chúng ta có thể quản lý kỳ vọng củ"&amp;"a khách hàng.")</f>
        <v>[00:54:15-00:54:50][Matsumoto] Đã hiểu. Tôi sẽ đảm bảo truyền đạt điều này một cách rõ ràng khi giải thích cho khách hàng. Bằng cách cam kết khả năng tương thích với thiết bị di động như một phần của lộ trình phát triển, chúng ta có thể quản lý kỳ vọng của khách hàng.</v>
      </c>
    </row>
    <row r="88">
      <c r="A88" s="2" t="s">
        <v>275</v>
      </c>
      <c r="B88" s="5" t="str">
        <f>IFERROR(__xludf.DUMMYFUNCTION("GOOGLETRANSLATE(A88,""ja"",""vi"")"),"[00:54:50-00:55:25][Tanaka] Là một chính sách giao tiếp với khách hàng, chúng ta hãy xem xét việc công bố lộ trình. Sự minh bạch dẫn đến việc xây dựng lòng tin.")</f>
        <v>[00:54:50-00:55:25][Tanaka] Là một chính sách giao tiếp với khách hàng, chúng ta hãy xem xét việc công bố lộ trình. Sự minh bạch dẫn đến việc xây dựng lòng tin.</v>
      </c>
    </row>
    <row r="89">
      <c r="A89" s="2" t="s">
        <v>276</v>
      </c>
      <c r="B89" s="5" t="str">
        <f>IFERROR(__xludf.DUMMYFUNCTION("GOOGLETRANSLATE(A89,""ja"",""vi"")"),"[00:55:25-00:56:00][Yamada] Chúng ta cũng cần xem xét rủi ro rò rỉ thông tin cho đối thủ cạnh tranh. Hãy cân nhắc kỹ phạm vi công bố lộ trình.")</f>
        <v>[00:55:25-00:56:00][Yamada] Chúng ta cũng cần xem xét rủi ro rò rỉ thông tin cho đối thủ cạnh tranh. Hãy cân nhắc kỹ phạm vi công bố lộ trình.</v>
      </c>
    </row>
    <row r="90">
      <c r="A90" s="2" t="s">
        <v>277</v>
      </c>
      <c r="B90" s="5" t="str">
        <f>IFERROR(__xludf.DUMMYFUNCTION("GOOGLETRANSLATE(A90,""ja"",""vi"")"),"[00:56:00-00:56:35][Tanaka] Vâng, chúng ta hãy phát hành phiên bản giới hạn chỉ dành cho khách hàng đã đăng ký.")</f>
        <v>[00:56:00-00:56:35][Tanaka] Vâng, chúng ta hãy phát hành phiên bản giới hạn chỉ dành cho khách hàng đã đăng ký.</v>
      </c>
    </row>
    <row r="91">
      <c r="A91" s="2" t="s">
        <v>278</v>
      </c>
      <c r="B91" s="5" t="str">
        <f>IFERROR(__xludf.DUMMYFUNCTION("GOOGLETRANSLATE(A91,""ja"",""vi"")"),"[00:56:35-00:57:15][Suzuki] Đó là cách tiếp cận thực tế. Tôi đề xuất rằng các chi tiết của lộ trình nên được công khai trên một cổng thông tin chỉ dành cho khách hàng đã ký hợp đồng.")</f>
        <v>[00:56:35-00:57:15][Suzuki] Đó là cách tiếp cận thực tế. Tôi đề xuất rằng các chi tiết của lộ trình nên được công khai trên một cổng thông tin chỉ dành cho khách hàng đã ký hợp đồng.</v>
      </c>
    </row>
    <row r="92">
      <c r="A92" s="2" t="s">
        <v>279</v>
      </c>
      <c r="B92" s="5" t="str">
        <f>IFERROR(__xludf.DUMMYFUNCTION("GOOGLETRANSLATE(A92,""ja"",""vi"")"),"[00:57:15-00:57:45][Tanaka] Đó là một ý kiến ​​hay. Yamada, vui lòng bổ sung chức năng công bố lộ trình vào yêu cầu chức năng của cổng thông tin khách hàng.")</f>
        <v>[00:57:15-00:57:45][Tanaka] Đó là một ý kiến ​​hay. Yamada, vui lòng bổ sung chức năng công bố lộ trình vào yêu cầu chức năng của cổng thông tin khách hàng.</v>
      </c>
    </row>
    <row r="93">
      <c r="A93" s="2" t="s">
        <v>280</v>
      </c>
      <c r="B93" s="5" t="str">
        <f>IFERROR(__xludf.DUMMYFUNCTION("GOOGLETRANSLATE(A93,""ja"",""vi"")"),"[00:57:45-00:58:00][Yamada] Đã hiểu.")</f>
        <v>[00:57:45-00:58:00][Yamada] Đã hiểu.</v>
      </c>
    </row>
    <row r="94">
      <c r="A94" s="2" t="s">
        <v>281</v>
      </c>
      <c r="B94" s="5" t="str">
        <f>IFERROR(__xludf.DUMMYFUNCTION("GOOGLETRANSLATE(A94,""ja"",""vi"")"),"[00:58:00-00:58:40][Tanaka] Vậy, tôi xin tóm tắt cuộc họp hôm nay. AiVoice Pro đang hướng tới việc ra mắt chính thức vào ngày 1 tháng 9. Chúng ta đã đạt được thỏa thuận về chương trình beta, chiến lược giá cả và sự kiện ra mắt. Vui lòng hoàn thành các nhi"&amp;"ệm vụ cá nhân của mình. Tôi mong chờ báo cáo tiến độ và việc chuẩn bị tài liệu thuyết trình cho hội đồng quản trị vào tuần tới.")</f>
        <v>[00:58:00-00:58:40][Tanaka] Vậy, tôi xin tóm tắt cuộc họp hôm nay. AiVoice Pro đang hướng tới việc ra mắt chính thức vào ngày 1 tháng 9. Chúng ta đã đạt được thỏa thuận về chương trình beta, chiến lược giá cả và sự kiện ra mắt. Vui lòng hoàn thành các nhiệm vụ cá nhân của mình. Tôi mong chờ báo cáo tiến độ và việc chuẩn bị tài liệu thuyết trình cho hội đồng quản trị vào tuần tới.</v>
      </c>
    </row>
    <row r="95">
      <c r="A95" s="2" t="s">
        <v>282</v>
      </c>
      <c r="B95" s="5" t="str">
        <f>IFERROR(__xludf.DUMMYFUNCTION("GOOGLETRANSLATE(A95,""ja"",""vi"")"),"[00:58:40-00:59:10][Suzuki] Cảm ơn rất nhiều vì ngày hôm nay. Nhóm phát triển sẽ cùng nhau làm việc như một khối thống nhất.")</f>
        <v>[00:58:40-00:59:10][Suzuki] Cảm ơn rất nhiều vì ngày hôm nay. Nhóm phát triển sẽ cùng nhau làm việc như một khối thống nhất.</v>
      </c>
    </row>
    <row r="96">
      <c r="A96" s="2" t="s">
        <v>283</v>
      </c>
      <c r="B96" s="5" t="str">
        <f>IFERROR(__xludf.DUMMYFUNCTION("GOOGLETRANSLATE(A96,""ja"",""vi"")"),"[00:59:10-00:59:35][Sato] Tôi sẽ hỗ trợ tài chính vững chắc. Cảm ơn sự hợp tác của bạn.")</f>
        <v>[00:59:10-00:59:35][Sato] Tôi sẽ hỗ trợ tài chính vững chắc. Cảm ơn sự hợp tác của bạn.</v>
      </c>
    </row>
    <row r="97">
      <c r="A97" s="2" t="s">
        <v>284</v>
      </c>
      <c r="B97" s="5" t="str">
        <f>IFERROR(__xludf.DUMMYFUNCTION("GOOGLETRANSLATE(A97,""ja"",""vi"")"),"[00:59:35-01:00:00][Yamada] Chúng tôi sẽ cố gắng hết sức về mặt sản phẩm. Cảm ơn quý khách rất nhiều vì ngày hôm nay.")</f>
        <v>[00:59:35-01:00:00][Yamada] Chúng tôi sẽ cố gắng hết sức về mặt sản phẩm. Cảm ơn quý khách rất nhiều vì ngày hôm nay.</v>
      </c>
    </row>
    <row r="98">
      <c r="A98" s="2" t="s">
        <v>285</v>
      </c>
      <c r="B98" s="5" t="str">
        <f>IFERROR(__xludf.DUMMYFUNCTION("GOOGLETRANSLATE(A98,""ja"",""vi"")"),"[01:00:00-01:00:10][Matsumoto] Cảm ơn rất nhiều. Chúng tôi tối đa hóa giá trị sản phẩm thông qua thiết kế.")</f>
        <v>[01:00:00-01:00:10][Matsumoto] Cảm ơn rất nhiều. Chúng tôi tối đa hóa giá trị sản phẩm thông qua thiết kế.</v>
      </c>
    </row>
    <row r="99">
      <c r="A99" s="2" t="s">
        <v>286</v>
      </c>
      <c r="B99" s="5" t="str">
        <f>IFERROR(__xludf.DUMMYFUNCTION("GOOGLETRANSLATE(A99,""ja"",""vi"")"),"[01:00:10-01:00:20][Tanaka] Cảm ơn vì sự nỗ lực của mọi người. Chúng ta giải tán đây.")</f>
        <v>[01:00:10-01:00:20][Tanaka] Cảm ơn vì sự nỗ lực của mọi người. Chúng ta giải tán đây.</v>
      </c>
    </row>
    <row r="100">
      <c r="A100" s="5"/>
      <c r="B100" s="5"/>
    </row>
    <row r="101">
      <c r="A101" s="5"/>
      <c r="B101" s="5"/>
    </row>
    <row r="102">
      <c r="A102" s="5"/>
      <c r="B102" s="5"/>
    </row>
    <row r="103">
      <c r="A103" s="5"/>
      <c r="B103" s="5"/>
    </row>
    <row r="104">
      <c r="A104" s="5"/>
      <c r="B104" s="5"/>
    </row>
    <row r="105">
      <c r="A105" s="5"/>
      <c r="B105" s="5"/>
    </row>
    <row r="106">
      <c r="A106" s="5"/>
      <c r="B106" s="5"/>
    </row>
    <row r="107">
      <c r="A107" s="5"/>
      <c r="B107" s="5"/>
    </row>
    <row r="108">
      <c r="A108" s="5"/>
      <c r="B108" s="5"/>
    </row>
    <row r="109">
      <c r="A109" s="5"/>
      <c r="B109" s="5"/>
    </row>
    <row r="110">
      <c r="A110" s="5"/>
      <c r="B110" s="5"/>
    </row>
    <row r="111">
      <c r="A111" s="5"/>
      <c r="B111" s="5"/>
    </row>
    <row r="112">
      <c r="A112" s="5"/>
      <c r="B112" s="5"/>
    </row>
    <row r="113">
      <c r="A113" s="5"/>
      <c r="B113" s="5"/>
    </row>
    <row r="114">
      <c r="A114" s="5"/>
      <c r="B114" s="5"/>
    </row>
    <row r="115">
      <c r="A115" s="5"/>
      <c r="B115" s="5"/>
    </row>
    <row r="116">
      <c r="A116" s="5"/>
      <c r="B116" s="5"/>
    </row>
    <row r="117">
      <c r="A117" s="5"/>
      <c r="B117" s="5"/>
    </row>
    <row r="118">
      <c r="A118" s="5"/>
      <c r="B118" s="5"/>
    </row>
    <row r="119">
      <c r="A119" s="5"/>
      <c r="B119" s="5"/>
    </row>
    <row r="120">
      <c r="A120" s="5"/>
      <c r="B120" s="5"/>
    </row>
    <row r="121">
      <c r="A121" s="5"/>
      <c r="B121" s="5"/>
    </row>
    <row r="122">
      <c r="A122" s="5"/>
      <c r="B122" s="5"/>
    </row>
    <row r="123">
      <c r="A123" s="5"/>
      <c r="B123" s="5"/>
    </row>
    <row r="124">
      <c r="A124" s="5"/>
      <c r="B124" s="5"/>
    </row>
    <row r="125">
      <c r="A125" s="5"/>
      <c r="B125" s="5"/>
    </row>
    <row r="126">
      <c r="A126" s="5"/>
      <c r="B126" s="5"/>
    </row>
    <row r="127">
      <c r="A127" s="5"/>
      <c r="B127" s="5"/>
    </row>
    <row r="128">
      <c r="A128" s="5"/>
      <c r="B128" s="5"/>
    </row>
    <row r="129">
      <c r="A129" s="5"/>
      <c r="B129" s="5"/>
    </row>
    <row r="130">
      <c r="A130" s="5"/>
      <c r="B130" s="5"/>
    </row>
    <row r="131">
      <c r="A131" s="5"/>
      <c r="B131" s="5"/>
    </row>
    <row r="132">
      <c r="A132" s="5"/>
      <c r="B132" s="5"/>
    </row>
    <row r="133">
      <c r="A133" s="5"/>
      <c r="B133" s="5"/>
    </row>
    <row r="134">
      <c r="A134" s="5"/>
      <c r="B134" s="5"/>
    </row>
    <row r="135">
      <c r="A135" s="5"/>
      <c r="B135" s="5"/>
    </row>
    <row r="136">
      <c r="A136" s="5"/>
      <c r="B136" s="5"/>
    </row>
    <row r="137">
      <c r="A137" s="5"/>
      <c r="B137" s="5"/>
    </row>
    <row r="138">
      <c r="A138" s="5"/>
      <c r="B138" s="5"/>
    </row>
    <row r="139">
      <c r="A139" s="5"/>
      <c r="B139" s="5"/>
    </row>
    <row r="140">
      <c r="A140" s="5"/>
      <c r="B140" s="5"/>
    </row>
    <row r="141">
      <c r="A141" s="5"/>
      <c r="B141" s="5"/>
    </row>
    <row r="142">
      <c r="A142" s="5"/>
      <c r="B142" s="5"/>
    </row>
    <row r="143">
      <c r="A143" s="5"/>
      <c r="B143" s="5"/>
    </row>
    <row r="144">
      <c r="A144" s="5"/>
      <c r="B144" s="5"/>
    </row>
    <row r="145">
      <c r="A145" s="5"/>
      <c r="B145" s="5"/>
    </row>
    <row r="146">
      <c r="A146" s="5"/>
      <c r="B146" s="5"/>
    </row>
    <row r="147">
      <c r="A147" s="5"/>
      <c r="B147" s="5"/>
    </row>
    <row r="148">
      <c r="A148" s="5"/>
      <c r="B148" s="5"/>
    </row>
    <row r="149">
      <c r="A149" s="5"/>
      <c r="B149" s="5"/>
    </row>
    <row r="150">
      <c r="A150" s="5"/>
      <c r="B150" s="5"/>
    </row>
    <row r="151">
      <c r="A151" s="5"/>
      <c r="B151" s="5"/>
    </row>
    <row r="152">
      <c r="A152" s="5"/>
      <c r="B152" s="5"/>
    </row>
    <row r="153">
      <c r="A153" s="5"/>
      <c r="B153" s="5"/>
    </row>
    <row r="154">
      <c r="A154" s="5"/>
      <c r="B154" s="5"/>
    </row>
    <row r="155">
      <c r="A155" s="5"/>
      <c r="B155" s="5"/>
    </row>
    <row r="156">
      <c r="A156" s="5"/>
      <c r="B156" s="5"/>
    </row>
    <row r="157">
      <c r="A157" s="5"/>
      <c r="B157" s="5"/>
    </row>
    <row r="158">
      <c r="A158" s="5"/>
      <c r="B158" s="5"/>
    </row>
    <row r="159">
      <c r="A159" s="5"/>
      <c r="B159" s="5"/>
    </row>
    <row r="160">
      <c r="A160" s="5"/>
      <c r="B160" s="5"/>
    </row>
    <row r="161">
      <c r="A161" s="5"/>
      <c r="B161" s="5"/>
    </row>
    <row r="162">
      <c r="A162" s="5"/>
      <c r="B162" s="5"/>
    </row>
    <row r="163">
      <c r="A163" s="5"/>
      <c r="B163" s="5"/>
    </row>
    <row r="164">
      <c r="A164" s="5"/>
      <c r="B164" s="5"/>
    </row>
    <row r="165">
      <c r="A165" s="5"/>
      <c r="B165" s="5"/>
    </row>
    <row r="166">
      <c r="A166" s="5"/>
      <c r="B166" s="5"/>
    </row>
    <row r="167">
      <c r="A167" s="5"/>
      <c r="B167" s="5"/>
    </row>
    <row r="168">
      <c r="A168" s="5"/>
      <c r="B168" s="5"/>
    </row>
    <row r="169">
      <c r="A169" s="5"/>
      <c r="B169" s="5"/>
    </row>
    <row r="170">
      <c r="A170" s="5"/>
      <c r="B170" s="5"/>
    </row>
    <row r="171">
      <c r="A171" s="5"/>
      <c r="B171" s="5"/>
    </row>
    <row r="172">
      <c r="A172" s="5"/>
      <c r="B172" s="5"/>
    </row>
    <row r="173">
      <c r="A173" s="5"/>
      <c r="B173" s="5"/>
    </row>
    <row r="174">
      <c r="A174" s="5"/>
      <c r="B174" s="5"/>
    </row>
    <row r="175">
      <c r="A175" s="5"/>
      <c r="B175" s="5"/>
    </row>
    <row r="176">
      <c r="A176" s="5"/>
      <c r="B176" s="5"/>
    </row>
    <row r="177">
      <c r="A177" s="5"/>
      <c r="B177" s="5"/>
    </row>
    <row r="178">
      <c r="A178" s="5"/>
      <c r="B178" s="5"/>
    </row>
    <row r="179">
      <c r="A179" s="5"/>
      <c r="B179" s="5"/>
    </row>
    <row r="180">
      <c r="A180" s="5"/>
      <c r="B180" s="5"/>
    </row>
    <row r="181">
      <c r="A181" s="5"/>
      <c r="B181" s="5"/>
    </row>
    <row r="182">
      <c r="A182" s="5"/>
      <c r="B182" s="5"/>
    </row>
    <row r="183">
      <c r="A183" s="5"/>
      <c r="B183" s="5"/>
    </row>
    <row r="184">
      <c r="A184" s="5"/>
      <c r="B184" s="5"/>
    </row>
    <row r="185">
      <c r="A185" s="5"/>
      <c r="B185" s="5"/>
    </row>
    <row r="186">
      <c r="A186" s="5"/>
      <c r="B186" s="5"/>
    </row>
    <row r="187">
      <c r="A187" s="5"/>
      <c r="B187" s="5"/>
    </row>
    <row r="188">
      <c r="A188" s="5"/>
      <c r="B188" s="5"/>
    </row>
    <row r="189">
      <c r="A189" s="5"/>
      <c r="B189" s="5"/>
    </row>
    <row r="190">
      <c r="A190" s="5"/>
      <c r="B190" s="5"/>
    </row>
    <row r="191">
      <c r="A191" s="5"/>
      <c r="B191" s="5"/>
    </row>
    <row r="192">
      <c r="A192" s="5"/>
      <c r="B192" s="5"/>
    </row>
    <row r="193">
      <c r="A193" s="5"/>
      <c r="B193" s="5"/>
    </row>
    <row r="194">
      <c r="A194" s="5"/>
      <c r="B194" s="5"/>
    </row>
    <row r="195">
      <c r="A195" s="5"/>
      <c r="B195" s="5"/>
    </row>
    <row r="196">
      <c r="A196" s="5"/>
      <c r="B196" s="5"/>
    </row>
    <row r="197">
      <c r="A197" s="5"/>
      <c r="B197" s="5"/>
    </row>
    <row r="198">
      <c r="A198" s="5"/>
      <c r="B198" s="5"/>
    </row>
    <row r="199">
      <c r="A199" s="5"/>
      <c r="B199" s="5"/>
    </row>
    <row r="200">
      <c r="A200" s="5"/>
      <c r="B200" s="5"/>
    </row>
    <row r="201">
      <c r="A201" s="5"/>
      <c r="B201" s="5"/>
    </row>
    <row r="202">
      <c r="A202" s="5"/>
      <c r="B202" s="5"/>
    </row>
    <row r="203">
      <c r="A203" s="5"/>
      <c r="B203" s="5"/>
    </row>
    <row r="204">
      <c r="A204" s="5"/>
      <c r="B204" s="5"/>
    </row>
    <row r="205">
      <c r="A205" s="5"/>
      <c r="B205" s="5"/>
    </row>
    <row r="206">
      <c r="A206" s="5"/>
      <c r="B206" s="5"/>
    </row>
    <row r="207">
      <c r="A207" s="5"/>
      <c r="B207" s="5"/>
    </row>
    <row r="208">
      <c r="A208" s="5"/>
      <c r="B208" s="5"/>
    </row>
    <row r="209">
      <c r="A209" s="5"/>
      <c r="B209" s="5"/>
    </row>
    <row r="210">
      <c r="A210" s="5"/>
      <c r="B210" s="5"/>
    </row>
    <row r="211">
      <c r="A211" s="5"/>
      <c r="B211" s="5"/>
    </row>
    <row r="212">
      <c r="A212" s="5"/>
      <c r="B212" s="5"/>
    </row>
    <row r="213">
      <c r="A213" s="5"/>
      <c r="B213" s="5"/>
    </row>
    <row r="214">
      <c r="A214" s="5"/>
      <c r="B214" s="5"/>
    </row>
    <row r="215">
      <c r="A215" s="5"/>
      <c r="B215" s="5"/>
    </row>
    <row r="216">
      <c r="A216" s="5"/>
      <c r="B216" s="5"/>
    </row>
    <row r="217">
      <c r="A217" s="5"/>
      <c r="B217" s="5"/>
    </row>
    <row r="218">
      <c r="A218" s="5"/>
      <c r="B218" s="5"/>
    </row>
    <row r="219">
      <c r="A219" s="5"/>
      <c r="B219" s="5"/>
    </row>
    <row r="220">
      <c r="A220" s="5"/>
      <c r="B220" s="5"/>
    </row>
    <row r="221">
      <c r="A221" s="5"/>
      <c r="B221" s="5"/>
    </row>
    <row r="222">
      <c r="A222" s="5"/>
      <c r="B222" s="5"/>
    </row>
    <row r="223">
      <c r="A223" s="5"/>
      <c r="B223" s="5"/>
    </row>
    <row r="224">
      <c r="A224" s="5"/>
      <c r="B224" s="5"/>
    </row>
    <row r="225">
      <c r="A225" s="5"/>
      <c r="B225" s="5"/>
    </row>
    <row r="226">
      <c r="A226" s="5"/>
      <c r="B226" s="5"/>
    </row>
    <row r="227">
      <c r="A227" s="5"/>
      <c r="B227" s="5"/>
    </row>
    <row r="228">
      <c r="A228" s="5"/>
      <c r="B228" s="5"/>
    </row>
    <row r="229">
      <c r="A229" s="5"/>
      <c r="B229" s="5"/>
    </row>
    <row r="230">
      <c r="A230" s="5"/>
      <c r="B230" s="5"/>
    </row>
    <row r="231">
      <c r="A231" s="5"/>
      <c r="B231" s="5"/>
    </row>
    <row r="232">
      <c r="A232" s="5"/>
      <c r="B232" s="5"/>
    </row>
    <row r="233">
      <c r="A233" s="5"/>
      <c r="B233" s="5"/>
    </row>
    <row r="234">
      <c r="A234" s="5"/>
      <c r="B234" s="5"/>
    </row>
    <row r="235">
      <c r="A235" s="5"/>
      <c r="B235" s="5"/>
    </row>
    <row r="236">
      <c r="A236" s="5"/>
      <c r="B236" s="5"/>
    </row>
    <row r="237">
      <c r="A237" s="5"/>
      <c r="B237" s="5"/>
    </row>
    <row r="238">
      <c r="A238" s="5"/>
      <c r="B238" s="5"/>
    </row>
    <row r="239">
      <c r="A239" s="5"/>
      <c r="B239" s="5"/>
    </row>
    <row r="240">
      <c r="A240" s="5"/>
      <c r="B240" s="5"/>
    </row>
    <row r="241">
      <c r="A241" s="5"/>
      <c r="B241" s="5"/>
    </row>
    <row r="242">
      <c r="A242" s="5"/>
      <c r="B242" s="5"/>
    </row>
    <row r="243">
      <c r="A243" s="5"/>
      <c r="B243" s="5"/>
    </row>
    <row r="244">
      <c r="A244" s="5"/>
      <c r="B244" s="5"/>
    </row>
    <row r="245">
      <c r="A245" s="5"/>
      <c r="B245" s="5"/>
    </row>
    <row r="246">
      <c r="A246" s="5"/>
      <c r="B246" s="5"/>
    </row>
    <row r="247">
      <c r="A247" s="5"/>
      <c r="B247" s="5"/>
    </row>
    <row r="248">
      <c r="A248" s="5"/>
      <c r="B248" s="5"/>
    </row>
    <row r="249">
      <c r="A249" s="5"/>
      <c r="B249" s="5"/>
    </row>
    <row r="250">
      <c r="A250" s="5"/>
      <c r="B250" s="5"/>
    </row>
    <row r="251">
      <c r="A251" s="5"/>
      <c r="B251" s="5"/>
    </row>
    <row r="252">
      <c r="A252" s="5"/>
      <c r="B252" s="5"/>
    </row>
    <row r="253">
      <c r="A253" s="5"/>
      <c r="B253" s="5"/>
    </row>
    <row r="254">
      <c r="A254" s="5"/>
      <c r="B254" s="5"/>
    </row>
    <row r="255">
      <c r="A255" s="5"/>
      <c r="B255" s="5"/>
    </row>
    <row r="256">
      <c r="A256" s="5"/>
      <c r="B256" s="5"/>
    </row>
    <row r="257">
      <c r="A257" s="5"/>
      <c r="B257" s="5"/>
    </row>
    <row r="258">
      <c r="A258" s="5"/>
      <c r="B258" s="5"/>
    </row>
    <row r="259">
      <c r="A259" s="5"/>
      <c r="B259" s="5"/>
    </row>
    <row r="260">
      <c r="A260" s="5"/>
      <c r="B260" s="5"/>
    </row>
    <row r="261">
      <c r="A261" s="5"/>
      <c r="B261" s="5"/>
    </row>
    <row r="262">
      <c r="A262" s="5"/>
      <c r="B262" s="5"/>
    </row>
    <row r="263">
      <c r="A263" s="5"/>
      <c r="B263" s="5"/>
    </row>
    <row r="264">
      <c r="A264" s="5"/>
      <c r="B264" s="5"/>
    </row>
    <row r="265">
      <c r="A265" s="5"/>
      <c r="B265" s="5"/>
    </row>
    <row r="266">
      <c r="A266" s="5"/>
      <c r="B266" s="5"/>
    </row>
    <row r="267">
      <c r="A267" s="5"/>
      <c r="B267" s="5"/>
    </row>
    <row r="268">
      <c r="A268" s="5"/>
      <c r="B268" s="5"/>
    </row>
    <row r="269">
      <c r="A269" s="5"/>
      <c r="B269" s="5"/>
    </row>
    <row r="270">
      <c r="A270" s="5"/>
      <c r="B270" s="5"/>
    </row>
    <row r="271">
      <c r="A271" s="5"/>
      <c r="B271" s="5"/>
    </row>
    <row r="272">
      <c r="A272" s="5"/>
      <c r="B272" s="5"/>
    </row>
    <row r="273">
      <c r="A273" s="5"/>
      <c r="B273" s="5"/>
    </row>
    <row r="274">
      <c r="A274" s="5"/>
      <c r="B274" s="5"/>
    </row>
    <row r="275">
      <c r="A275" s="5"/>
      <c r="B275" s="5"/>
    </row>
    <row r="276">
      <c r="A276" s="5"/>
      <c r="B276" s="5"/>
    </row>
    <row r="277">
      <c r="A277" s="5"/>
      <c r="B277" s="5"/>
    </row>
    <row r="278">
      <c r="A278" s="5"/>
      <c r="B278" s="5"/>
    </row>
    <row r="279">
      <c r="A279" s="5"/>
      <c r="B279" s="5"/>
    </row>
    <row r="280">
      <c r="A280" s="5"/>
      <c r="B280" s="5"/>
    </row>
    <row r="281">
      <c r="A281" s="5"/>
      <c r="B281" s="5"/>
    </row>
    <row r="282">
      <c r="A282" s="5"/>
      <c r="B282" s="5"/>
    </row>
    <row r="283">
      <c r="A283" s="5"/>
      <c r="B283" s="5"/>
    </row>
    <row r="284">
      <c r="A284" s="5"/>
      <c r="B284" s="5"/>
    </row>
    <row r="285">
      <c r="A285" s="5"/>
      <c r="B285" s="5"/>
    </row>
    <row r="286">
      <c r="A286" s="5"/>
      <c r="B286" s="5"/>
    </row>
    <row r="287">
      <c r="A287" s="5"/>
      <c r="B287" s="5"/>
    </row>
    <row r="288">
      <c r="A288" s="5"/>
      <c r="B288" s="5"/>
    </row>
    <row r="289">
      <c r="A289" s="5"/>
      <c r="B289" s="5"/>
    </row>
    <row r="290">
      <c r="A290" s="5"/>
      <c r="B290" s="5"/>
    </row>
    <row r="291">
      <c r="A291" s="5"/>
      <c r="B291" s="5"/>
    </row>
    <row r="292">
      <c r="A292" s="5"/>
      <c r="B292" s="5"/>
    </row>
    <row r="293">
      <c r="A293" s="5"/>
      <c r="B293" s="5"/>
    </row>
    <row r="294">
      <c r="A294" s="5"/>
      <c r="B294" s="5"/>
    </row>
    <row r="295">
      <c r="A295" s="5"/>
      <c r="B295" s="5"/>
    </row>
    <row r="296">
      <c r="A296" s="5"/>
      <c r="B296" s="5"/>
    </row>
    <row r="297">
      <c r="A297" s="5"/>
      <c r="B297" s="5"/>
    </row>
    <row r="298">
      <c r="A298" s="5"/>
      <c r="B298" s="5"/>
    </row>
    <row r="299">
      <c r="A299" s="5"/>
      <c r="B299" s="5"/>
    </row>
    <row r="300">
      <c r="A300" s="5"/>
      <c r="B300" s="5"/>
    </row>
    <row r="301">
      <c r="A301" s="5"/>
      <c r="B301" s="5"/>
    </row>
    <row r="302">
      <c r="A302" s="5"/>
      <c r="B302" s="5"/>
    </row>
    <row r="303">
      <c r="A303" s="5"/>
      <c r="B303" s="5"/>
    </row>
    <row r="304">
      <c r="A304" s="5"/>
      <c r="B304" s="5"/>
    </row>
    <row r="305">
      <c r="A305" s="5"/>
      <c r="B305" s="5"/>
    </row>
    <row r="306">
      <c r="A306" s="5"/>
      <c r="B306" s="5"/>
    </row>
    <row r="307">
      <c r="A307" s="5"/>
      <c r="B307" s="5"/>
    </row>
    <row r="308">
      <c r="A308" s="5"/>
      <c r="B308" s="5"/>
    </row>
    <row r="309">
      <c r="A309" s="5"/>
      <c r="B309" s="5"/>
    </row>
    <row r="310">
      <c r="A310" s="5"/>
      <c r="B310" s="5"/>
    </row>
    <row r="311">
      <c r="A311" s="5"/>
      <c r="B311" s="5"/>
    </row>
    <row r="312">
      <c r="A312" s="5"/>
      <c r="B312" s="5"/>
    </row>
    <row r="313">
      <c r="A313" s="5"/>
      <c r="B313" s="5"/>
    </row>
    <row r="314">
      <c r="A314" s="5"/>
      <c r="B314" s="5"/>
    </row>
    <row r="315">
      <c r="A315" s="5"/>
      <c r="B315" s="5"/>
    </row>
    <row r="316">
      <c r="A316" s="5"/>
      <c r="B316" s="5"/>
    </row>
    <row r="317">
      <c r="A317" s="5"/>
      <c r="B317" s="5"/>
    </row>
    <row r="318">
      <c r="A318" s="5"/>
      <c r="B318" s="5"/>
    </row>
    <row r="319">
      <c r="A319" s="5"/>
      <c r="B319" s="5"/>
    </row>
    <row r="320">
      <c r="A320" s="5"/>
      <c r="B320" s="5"/>
    </row>
    <row r="321">
      <c r="A321" s="5"/>
      <c r="B321" s="5"/>
    </row>
    <row r="322">
      <c r="A322" s="5"/>
      <c r="B322" s="5"/>
    </row>
    <row r="323">
      <c r="A323" s="5"/>
      <c r="B323" s="5"/>
    </row>
    <row r="324">
      <c r="A324" s="5"/>
      <c r="B324" s="5"/>
    </row>
    <row r="325">
      <c r="A325" s="5"/>
      <c r="B325" s="5"/>
    </row>
    <row r="326">
      <c r="A326" s="5"/>
      <c r="B326" s="5"/>
    </row>
    <row r="327">
      <c r="A327" s="5"/>
      <c r="B327" s="5"/>
    </row>
    <row r="328">
      <c r="A328" s="5"/>
      <c r="B328" s="5"/>
    </row>
    <row r="329">
      <c r="A329" s="5"/>
      <c r="B329" s="5"/>
    </row>
    <row r="330">
      <c r="A330" s="5"/>
      <c r="B330" s="5"/>
    </row>
    <row r="331">
      <c r="A331" s="5"/>
      <c r="B331" s="5"/>
    </row>
    <row r="332">
      <c r="A332" s="5"/>
      <c r="B332" s="5"/>
    </row>
    <row r="333">
      <c r="A333" s="5"/>
      <c r="B333" s="5"/>
    </row>
    <row r="334">
      <c r="A334" s="5"/>
      <c r="B334" s="5"/>
    </row>
    <row r="335">
      <c r="A335" s="5"/>
      <c r="B335" s="5"/>
    </row>
    <row r="336">
      <c r="A336" s="5"/>
      <c r="B336" s="5"/>
    </row>
    <row r="337">
      <c r="A337" s="5"/>
      <c r="B337" s="5"/>
    </row>
    <row r="338">
      <c r="A338" s="5"/>
      <c r="B338" s="5"/>
    </row>
    <row r="339">
      <c r="A339" s="5"/>
      <c r="B339" s="5"/>
    </row>
    <row r="340">
      <c r="A340" s="5"/>
      <c r="B340" s="5"/>
    </row>
    <row r="341">
      <c r="A341" s="5"/>
      <c r="B341" s="5"/>
    </row>
    <row r="342">
      <c r="A342" s="5"/>
      <c r="B342" s="5"/>
    </row>
    <row r="343">
      <c r="A343" s="5"/>
      <c r="B343" s="5"/>
    </row>
    <row r="344">
      <c r="A344" s="5"/>
      <c r="B344" s="5"/>
    </row>
    <row r="345">
      <c r="A345" s="5"/>
      <c r="B345" s="5"/>
    </row>
    <row r="346">
      <c r="A346" s="5"/>
      <c r="B346" s="5"/>
    </row>
    <row r="347">
      <c r="A347" s="5"/>
      <c r="B347" s="5"/>
    </row>
    <row r="348">
      <c r="A348" s="5"/>
      <c r="B348" s="5"/>
    </row>
    <row r="349">
      <c r="A349" s="5"/>
      <c r="B349" s="5"/>
    </row>
    <row r="350">
      <c r="A350" s="5"/>
      <c r="B350" s="5"/>
    </row>
    <row r="351">
      <c r="A351" s="5"/>
      <c r="B351" s="5"/>
    </row>
    <row r="352">
      <c r="A352" s="5"/>
      <c r="B352" s="5"/>
    </row>
    <row r="353">
      <c r="A353" s="5"/>
      <c r="B353" s="5"/>
    </row>
    <row r="354">
      <c r="A354" s="5"/>
      <c r="B354" s="5"/>
    </row>
    <row r="355">
      <c r="A355" s="5"/>
      <c r="B355" s="5"/>
    </row>
    <row r="356">
      <c r="A356" s="5"/>
      <c r="B356" s="5"/>
    </row>
    <row r="357">
      <c r="A357" s="5"/>
      <c r="B357" s="5"/>
    </row>
    <row r="358">
      <c r="A358" s="5"/>
      <c r="B358" s="5"/>
    </row>
    <row r="359">
      <c r="A359" s="5"/>
      <c r="B359" s="5"/>
    </row>
    <row r="360">
      <c r="A360" s="5"/>
      <c r="B360" s="5"/>
    </row>
    <row r="361">
      <c r="A361" s="5"/>
      <c r="B361" s="5"/>
    </row>
    <row r="362">
      <c r="A362" s="5"/>
      <c r="B362" s="5"/>
    </row>
    <row r="363">
      <c r="A363" s="5"/>
      <c r="B363" s="5"/>
    </row>
    <row r="364">
      <c r="A364" s="5"/>
      <c r="B364" s="5"/>
    </row>
    <row r="365">
      <c r="A365" s="5"/>
      <c r="B365" s="5"/>
    </row>
    <row r="366">
      <c r="A366" s="5"/>
      <c r="B366" s="5"/>
    </row>
    <row r="367">
      <c r="A367" s="5"/>
      <c r="B367" s="5"/>
    </row>
    <row r="368">
      <c r="A368" s="5"/>
      <c r="B368" s="5"/>
    </row>
    <row r="369">
      <c r="A369" s="5"/>
      <c r="B369" s="5"/>
    </row>
    <row r="370">
      <c r="A370" s="5"/>
      <c r="B370" s="5"/>
    </row>
    <row r="371">
      <c r="A371" s="5"/>
      <c r="B371" s="5"/>
    </row>
    <row r="372">
      <c r="A372" s="5"/>
      <c r="B372" s="5"/>
    </row>
    <row r="373">
      <c r="A373" s="5"/>
      <c r="B373" s="5"/>
    </row>
    <row r="374">
      <c r="A374" s="5"/>
      <c r="B374" s="5"/>
    </row>
    <row r="375">
      <c r="A375" s="5"/>
      <c r="B375" s="5"/>
    </row>
    <row r="376">
      <c r="A376" s="5"/>
      <c r="B376" s="5"/>
    </row>
    <row r="377">
      <c r="A377" s="5"/>
      <c r="B377" s="5"/>
    </row>
    <row r="378">
      <c r="A378" s="5"/>
      <c r="B378" s="5"/>
    </row>
    <row r="379">
      <c r="A379" s="5"/>
      <c r="B379" s="5"/>
    </row>
    <row r="380">
      <c r="A380" s="5"/>
      <c r="B380" s="5"/>
    </row>
    <row r="381">
      <c r="A381" s="5"/>
      <c r="B381" s="5"/>
    </row>
    <row r="382">
      <c r="A382" s="5"/>
      <c r="B382" s="5"/>
    </row>
    <row r="383">
      <c r="A383" s="5"/>
      <c r="B383" s="5"/>
    </row>
    <row r="384">
      <c r="A384" s="5"/>
      <c r="B384" s="5"/>
    </row>
    <row r="385">
      <c r="A385" s="5"/>
      <c r="B385" s="5"/>
    </row>
    <row r="386">
      <c r="A386" s="5"/>
      <c r="B386" s="5"/>
    </row>
    <row r="387">
      <c r="A387" s="5"/>
      <c r="B387" s="5"/>
    </row>
    <row r="388">
      <c r="A388" s="5"/>
      <c r="B388" s="5"/>
    </row>
    <row r="389">
      <c r="A389" s="5"/>
      <c r="B389" s="5"/>
    </row>
    <row r="390">
      <c r="A390" s="5"/>
      <c r="B390" s="5"/>
    </row>
    <row r="391">
      <c r="A391" s="5"/>
      <c r="B391" s="5"/>
    </row>
    <row r="392">
      <c r="A392" s="5"/>
      <c r="B392" s="5"/>
    </row>
    <row r="393">
      <c r="A393" s="5"/>
      <c r="B393" s="5"/>
    </row>
    <row r="394">
      <c r="A394" s="5"/>
      <c r="B394" s="5"/>
    </row>
    <row r="395">
      <c r="A395" s="5"/>
      <c r="B395" s="5"/>
    </row>
    <row r="396">
      <c r="A396" s="5"/>
      <c r="B396" s="5"/>
    </row>
    <row r="397">
      <c r="A397" s="5"/>
      <c r="B397" s="5"/>
    </row>
    <row r="398">
      <c r="A398" s="5"/>
      <c r="B398" s="5"/>
    </row>
    <row r="399">
      <c r="A399" s="5"/>
      <c r="B399" s="5"/>
    </row>
    <row r="400">
      <c r="A400" s="5"/>
      <c r="B400" s="5"/>
    </row>
    <row r="401">
      <c r="A401" s="5"/>
      <c r="B401" s="5"/>
    </row>
    <row r="402">
      <c r="A402" s="5"/>
      <c r="B402" s="5"/>
    </row>
    <row r="403">
      <c r="A403" s="5"/>
      <c r="B403" s="5"/>
    </row>
    <row r="404">
      <c r="A404" s="5"/>
      <c r="B404" s="5"/>
    </row>
    <row r="405">
      <c r="A405" s="5"/>
      <c r="B405" s="5"/>
    </row>
    <row r="406">
      <c r="A406" s="5"/>
      <c r="B406" s="5"/>
    </row>
    <row r="407">
      <c r="A407" s="5"/>
      <c r="B407" s="5"/>
    </row>
    <row r="408">
      <c r="A408" s="5"/>
      <c r="B408" s="5"/>
    </row>
    <row r="409">
      <c r="A409" s="5"/>
      <c r="B409" s="5"/>
    </row>
    <row r="410">
      <c r="A410" s="5"/>
      <c r="B410" s="5"/>
    </row>
    <row r="411">
      <c r="A411" s="5"/>
      <c r="B411" s="5"/>
    </row>
    <row r="412">
      <c r="A412" s="5"/>
      <c r="B412" s="5"/>
    </row>
    <row r="413">
      <c r="A413" s="5"/>
      <c r="B413" s="5"/>
    </row>
    <row r="414">
      <c r="A414" s="5"/>
      <c r="B414" s="5"/>
    </row>
    <row r="415">
      <c r="A415" s="5"/>
      <c r="B415" s="5"/>
    </row>
    <row r="416">
      <c r="A416" s="5"/>
      <c r="B416" s="5"/>
    </row>
    <row r="417">
      <c r="A417" s="5"/>
      <c r="B417" s="5"/>
    </row>
    <row r="418">
      <c r="A418" s="5"/>
      <c r="B418" s="5"/>
    </row>
    <row r="419">
      <c r="A419" s="5"/>
      <c r="B419" s="5"/>
    </row>
    <row r="420">
      <c r="A420" s="5"/>
      <c r="B420" s="5"/>
    </row>
    <row r="421">
      <c r="A421" s="5"/>
      <c r="B421" s="5"/>
    </row>
    <row r="422">
      <c r="A422" s="5"/>
      <c r="B422" s="5"/>
    </row>
    <row r="423">
      <c r="A423" s="5"/>
      <c r="B423" s="5"/>
    </row>
    <row r="424">
      <c r="A424" s="5"/>
      <c r="B424" s="5"/>
    </row>
    <row r="425">
      <c r="A425" s="5"/>
      <c r="B425" s="5"/>
    </row>
    <row r="426">
      <c r="A426" s="5"/>
      <c r="B426" s="5"/>
    </row>
    <row r="427">
      <c r="A427" s="5"/>
      <c r="B427" s="5"/>
    </row>
    <row r="428">
      <c r="A428" s="5"/>
      <c r="B428" s="5"/>
    </row>
    <row r="429">
      <c r="A429" s="5"/>
      <c r="B429" s="5"/>
    </row>
    <row r="430">
      <c r="A430" s="5"/>
      <c r="B430" s="5"/>
    </row>
    <row r="431">
      <c r="A431" s="5"/>
      <c r="B431" s="5"/>
    </row>
    <row r="432">
      <c r="A432" s="5"/>
      <c r="B432" s="5"/>
    </row>
    <row r="433">
      <c r="A433" s="5"/>
      <c r="B433" s="5"/>
    </row>
    <row r="434">
      <c r="A434" s="5"/>
      <c r="B434" s="5"/>
    </row>
    <row r="435">
      <c r="A435" s="5"/>
      <c r="B435" s="5"/>
    </row>
    <row r="436">
      <c r="A436" s="5"/>
      <c r="B436" s="5"/>
    </row>
    <row r="437">
      <c r="A437" s="5"/>
      <c r="B437" s="5"/>
    </row>
    <row r="438">
      <c r="A438" s="5"/>
      <c r="B438" s="5"/>
    </row>
    <row r="439">
      <c r="A439" s="5"/>
      <c r="B439" s="5"/>
    </row>
    <row r="440">
      <c r="A440" s="5"/>
      <c r="B440" s="5"/>
    </row>
    <row r="441">
      <c r="A441" s="5"/>
      <c r="B441" s="5"/>
    </row>
    <row r="442">
      <c r="A442" s="5"/>
      <c r="B442" s="5"/>
    </row>
    <row r="443">
      <c r="A443" s="5"/>
      <c r="B443" s="5"/>
    </row>
    <row r="444">
      <c r="A444" s="5"/>
      <c r="B444" s="5"/>
    </row>
    <row r="445">
      <c r="A445" s="5"/>
      <c r="B445" s="5"/>
    </row>
    <row r="446">
      <c r="A446" s="5"/>
      <c r="B446" s="5"/>
    </row>
    <row r="447">
      <c r="A447" s="5"/>
      <c r="B447" s="5"/>
    </row>
    <row r="448">
      <c r="A448" s="5"/>
      <c r="B448" s="5"/>
    </row>
    <row r="449">
      <c r="A449" s="5"/>
      <c r="B449" s="5"/>
    </row>
    <row r="450">
      <c r="A450" s="5"/>
      <c r="B450" s="5"/>
    </row>
    <row r="451">
      <c r="A451" s="5"/>
      <c r="B451" s="5"/>
    </row>
    <row r="452">
      <c r="A452" s="5"/>
      <c r="B452" s="5"/>
    </row>
    <row r="453">
      <c r="A453" s="5"/>
      <c r="B453" s="5"/>
    </row>
    <row r="454">
      <c r="A454" s="5"/>
      <c r="B454" s="5"/>
    </row>
    <row r="455">
      <c r="A455" s="5"/>
      <c r="B455" s="5"/>
    </row>
    <row r="456">
      <c r="A456" s="5"/>
      <c r="B456" s="5"/>
    </row>
    <row r="457">
      <c r="A457" s="5"/>
      <c r="B457" s="5"/>
    </row>
    <row r="458">
      <c r="A458" s="5"/>
      <c r="B458" s="5"/>
    </row>
    <row r="459">
      <c r="A459" s="5"/>
      <c r="B459" s="5"/>
    </row>
    <row r="460">
      <c r="A460" s="5"/>
      <c r="B460" s="5"/>
    </row>
    <row r="461">
      <c r="A461" s="5"/>
      <c r="B461" s="5"/>
    </row>
    <row r="462">
      <c r="A462" s="5"/>
      <c r="B462" s="5"/>
    </row>
    <row r="463">
      <c r="A463" s="5"/>
      <c r="B463" s="5"/>
    </row>
    <row r="464">
      <c r="A464" s="5"/>
      <c r="B464" s="5"/>
    </row>
    <row r="465">
      <c r="A465" s="5"/>
      <c r="B465" s="5"/>
    </row>
    <row r="466">
      <c r="A466" s="5"/>
      <c r="B466" s="5"/>
    </row>
    <row r="467">
      <c r="A467" s="5"/>
      <c r="B467" s="5"/>
    </row>
    <row r="468">
      <c r="A468" s="5"/>
      <c r="B468" s="5"/>
    </row>
    <row r="469">
      <c r="A469" s="5"/>
      <c r="B469" s="5"/>
    </row>
    <row r="470">
      <c r="A470" s="5"/>
      <c r="B470" s="5"/>
    </row>
    <row r="471">
      <c r="A471" s="5"/>
      <c r="B471" s="5"/>
    </row>
    <row r="472">
      <c r="A472" s="5"/>
      <c r="B472" s="5"/>
    </row>
    <row r="473">
      <c r="A473" s="5"/>
      <c r="B473" s="5"/>
    </row>
    <row r="474">
      <c r="A474" s="5"/>
      <c r="B474" s="5"/>
    </row>
    <row r="475">
      <c r="A475" s="5"/>
      <c r="B475" s="5"/>
    </row>
    <row r="476">
      <c r="A476" s="5"/>
      <c r="B476" s="5"/>
    </row>
    <row r="477">
      <c r="A477" s="5"/>
      <c r="B477" s="5"/>
    </row>
    <row r="478">
      <c r="A478" s="5"/>
      <c r="B478" s="5"/>
    </row>
    <row r="479">
      <c r="A479" s="5"/>
      <c r="B479" s="5"/>
    </row>
    <row r="480">
      <c r="A480" s="5"/>
      <c r="B480" s="5"/>
    </row>
    <row r="481">
      <c r="A481" s="5"/>
      <c r="B481" s="5"/>
    </row>
    <row r="482">
      <c r="A482" s="5"/>
      <c r="B482" s="5"/>
    </row>
    <row r="483">
      <c r="A483" s="5"/>
      <c r="B483" s="5"/>
    </row>
    <row r="484">
      <c r="A484" s="5"/>
      <c r="B484" s="5"/>
    </row>
    <row r="485">
      <c r="A485" s="5"/>
      <c r="B485" s="5"/>
    </row>
    <row r="486">
      <c r="A486" s="5"/>
      <c r="B486" s="5"/>
    </row>
    <row r="487">
      <c r="A487" s="5"/>
      <c r="B487" s="5"/>
    </row>
    <row r="488">
      <c r="A488" s="5"/>
      <c r="B488" s="5"/>
    </row>
    <row r="489">
      <c r="A489" s="5"/>
      <c r="B489" s="5"/>
    </row>
    <row r="490">
      <c r="A490" s="5"/>
      <c r="B490" s="5"/>
    </row>
    <row r="491">
      <c r="A491" s="5"/>
      <c r="B491" s="5"/>
    </row>
    <row r="492">
      <c r="A492" s="5"/>
      <c r="B492" s="5"/>
    </row>
    <row r="493">
      <c r="A493" s="5"/>
      <c r="B493" s="5"/>
    </row>
    <row r="494">
      <c r="A494" s="5"/>
      <c r="B494" s="5"/>
    </row>
    <row r="495">
      <c r="A495" s="5"/>
      <c r="B495" s="5"/>
    </row>
    <row r="496">
      <c r="A496" s="5"/>
      <c r="B496" s="5"/>
    </row>
    <row r="497">
      <c r="A497" s="5"/>
      <c r="B497" s="5"/>
    </row>
    <row r="498">
      <c r="A498" s="5"/>
      <c r="B498" s="5"/>
    </row>
    <row r="499">
      <c r="A499" s="5"/>
      <c r="B499" s="5"/>
    </row>
    <row r="500">
      <c r="A500" s="5"/>
      <c r="B500" s="5"/>
    </row>
    <row r="501">
      <c r="A501" s="5"/>
      <c r="B501" s="5"/>
    </row>
    <row r="502">
      <c r="A502" s="5"/>
      <c r="B502" s="5"/>
    </row>
    <row r="503">
      <c r="A503" s="5"/>
      <c r="B503" s="5"/>
    </row>
    <row r="504">
      <c r="A504" s="5"/>
      <c r="B504" s="5"/>
    </row>
    <row r="505">
      <c r="A505" s="5"/>
      <c r="B505" s="5"/>
    </row>
    <row r="506">
      <c r="A506" s="5"/>
      <c r="B506" s="5"/>
    </row>
    <row r="507">
      <c r="A507" s="5"/>
      <c r="B507" s="5"/>
    </row>
    <row r="508">
      <c r="A508" s="5"/>
      <c r="B508" s="5"/>
    </row>
    <row r="509">
      <c r="A509" s="5"/>
      <c r="B509" s="5"/>
    </row>
    <row r="510">
      <c r="A510" s="5"/>
      <c r="B510" s="5"/>
    </row>
    <row r="511">
      <c r="A511" s="5"/>
      <c r="B511" s="5"/>
    </row>
    <row r="512">
      <c r="A512" s="5"/>
      <c r="B512" s="5"/>
    </row>
    <row r="513">
      <c r="A513" s="5"/>
      <c r="B513" s="5"/>
    </row>
    <row r="514">
      <c r="A514" s="5"/>
      <c r="B514" s="5"/>
    </row>
    <row r="515">
      <c r="A515" s="5"/>
      <c r="B515" s="5"/>
    </row>
    <row r="516">
      <c r="A516" s="5"/>
      <c r="B516" s="5"/>
    </row>
    <row r="517">
      <c r="A517" s="5"/>
      <c r="B517" s="5"/>
    </row>
    <row r="518">
      <c r="A518" s="5"/>
      <c r="B518" s="5"/>
    </row>
    <row r="519">
      <c r="A519" s="5"/>
      <c r="B519" s="5"/>
    </row>
    <row r="520">
      <c r="A520" s="5"/>
      <c r="B520" s="5"/>
    </row>
    <row r="521">
      <c r="A521" s="5"/>
      <c r="B521" s="5"/>
    </row>
    <row r="522">
      <c r="A522" s="5"/>
      <c r="B522" s="5"/>
    </row>
    <row r="523">
      <c r="A523" s="5"/>
      <c r="B523" s="5"/>
    </row>
    <row r="524">
      <c r="A524" s="5"/>
      <c r="B524" s="5"/>
    </row>
    <row r="525">
      <c r="A525" s="5"/>
      <c r="B525" s="5"/>
    </row>
    <row r="526">
      <c r="A526" s="5"/>
      <c r="B526" s="5"/>
    </row>
    <row r="527">
      <c r="A527" s="5"/>
      <c r="B527" s="5"/>
    </row>
    <row r="528">
      <c r="A528" s="5"/>
      <c r="B528" s="5"/>
    </row>
    <row r="529">
      <c r="A529" s="5"/>
      <c r="B529" s="5"/>
    </row>
    <row r="530">
      <c r="A530" s="5"/>
      <c r="B530" s="5"/>
    </row>
    <row r="531">
      <c r="A531" s="5"/>
      <c r="B531" s="5"/>
    </row>
    <row r="532">
      <c r="A532" s="5"/>
      <c r="B532" s="5"/>
    </row>
    <row r="533">
      <c r="A533" s="5"/>
      <c r="B533" s="5"/>
    </row>
    <row r="534">
      <c r="A534" s="5"/>
      <c r="B534" s="5"/>
    </row>
    <row r="535">
      <c r="A535" s="5"/>
      <c r="B535" s="5"/>
    </row>
    <row r="536">
      <c r="A536" s="5"/>
      <c r="B536" s="5"/>
    </row>
    <row r="537">
      <c r="A537" s="5"/>
      <c r="B537" s="5"/>
    </row>
    <row r="538">
      <c r="A538" s="5"/>
      <c r="B538" s="5"/>
    </row>
    <row r="539">
      <c r="A539" s="5"/>
      <c r="B539" s="5"/>
    </row>
    <row r="540">
      <c r="A540" s="5"/>
      <c r="B540" s="5"/>
    </row>
    <row r="541">
      <c r="A541" s="5"/>
      <c r="B541" s="5"/>
    </row>
    <row r="542">
      <c r="A542" s="5"/>
      <c r="B542" s="5"/>
    </row>
    <row r="543">
      <c r="A543" s="5"/>
      <c r="B543" s="5"/>
    </row>
    <row r="544">
      <c r="A544" s="5"/>
      <c r="B544" s="5"/>
    </row>
    <row r="545">
      <c r="A545" s="5"/>
      <c r="B545" s="5"/>
    </row>
    <row r="546">
      <c r="A546" s="5"/>
      <c r="B546" s="5"/>
    </row>
    <row r="547">
      <c r="A547" s="5"/>
      <c r="B547" s="5"/>
    </row>
    <row r="548">
      <c r="A548" s="5"/>
      <c r="B548" s="5"/>
    </row>
    <row r="549">
      <c r="A549" s="5"/>
      <c r="B549" s="5"/>
    </row>
    <row r="550">
      <c r="A550" s="5"/>
      <c r="B550" s="5"/>
    </row>
    <row r="551">
      <c r="A551" s="5"/>
      <c r="B551" s="5"/>
    </row>
    <row r="552">
      <c r="A552" s="5"/>
      <c r="B552" s="5"/>
    </row>
    <row r="553">
      <c r="A553" s="5"/>
      <c r="B553" s="5"/>
    </row>
    <row r="554">
      <c r="A554" s="5"/>
      <c r="B554" s="5"/>
    </row>
    <row r="555">
      <c r="A555" s="5"/>
      <c r="B555" s="5"/>
    </row>
    <row r="556">
      <c r="A556" s="5"/>
      <c r="B556" s="5"/>
    </row>
    <row r="557">
      <c r="A557" s="5"/>
      <c r="B557" s="5"/>
    </row>
    <row r="558">
      <c r="A558" s="5"/>
      <c r="B558" s="5"/>
    </row>
    <row r="559">
      <c r="A559" s="5"/>
      <c r="B559" s="5"/>
    </row>
    <row r="560">
      <c r="A560" s="5"/>
      <c r="B560" s="5"/>
    </row>
    <row r="561">
      <c r="A561" s="5"/>
      <c r="B561" s="5"/>
    </row>
    <row r="562">
      <c r="A562" s="5"/>
      <c r="B562" s="5"/>
    </row>
    <row r="563">
      <c r="A563" s="5"/>
      <c r="B563" s="5"/>
    </row>
    <row r="564">
      <c r="A564" s="5"/>
      <c r="B564" s="5"/>
    </row>
    <row r="565">
      <c r="A565" s="5"/>
      <c r="B565" s="5"/>
    </row>
    <row r="566">
      <c r="A566" s="5"/>
      <c r="B566" s="5"/>
    </row>
    <row r="567">
      <c r="A567" s="5"/>
      <c r="B567" s="5"/>
    </row>
    <row r="568">
      <c r="A568" s="5"/>
      <c r="B568" s="5"/>
    </row>
    <row r="569">
      <c r="A569" s="5"/>
      <c r="B569" s="5"/>
    </row>
    <row r="570">
      <c r="A570" s="5"/>
      <c r="B570" s="5"/>
    </row>
    <row r="571">
      <c r="A571" s="5"/>
      <c r="B571" s="5"/>
    </row>
    <row r="572">
      <c r="A572" s="5"/>
      <c r="B572" s="5"/>
    </row>
    <row r="573">
      <c r="A573" s="5"/>
      <c r="B573" s="5"/>
    </row>
    <row r="574">
      <c r="A574" s="5"/>
      <c r="B574" s="5"/>
    </row>
    <row r="575">
      <c r="A575" s="5"/>
      <c r="B575" s="5"/>
    </row>
    <row r="576">
      <c r="A576" s="5"/>
      <c r="B576" s="5"/>
    </row>
    <row r="577">
      <c r="A577" s="5"/>
      <c r="B577" s="5"/>
    </row>
    <row r="578">
      <c r="A578" s="5"/>
      <c r="B578" s="5"/>
    </row>
    <row r="579">
      <c r="A579" s="5"/>
      <c r="B579" s="5"/>
    </row>
    <row r="580">
      <c r="A580" s="5"/>
      <c r="B580" s="5"/>
    </row>
    <row r="581">
      <c r="A581" s="5"/>
      <c r="B581" s="5"/>
    </row>
    <row r="582">
      <c r="A582" s="5"/>
      <c r="B582" s="5"/>
    </row>
    <row r="583">
      <c r="A583" s="5"/>
      <c r="B583" s="5"/>
    </row>
    <row r="584">
      <c r="A584" s="5"/>
      <c r="B584" s="5"/>
    </row>
    <row r="585">
      <c r="A585" s="5"/>
      <c r="B585" s="5"/>
    </row>
    <row r="586">
      <c r="A586" s="5"/>
      <c r="B586" s="5"/>
    </row>
    <row r="587">
      <c r="A587" s="5"/>
      <c r="B587" s="5"/>
    </row>
    <row r="588">
      <c r="A588" s="5"/>
      <c r="B588" s="5"/>
    </row>
    <row r="589">
      <c r="A589" s="5"/>
      <c r="B589" s="5"/>
    </row>
    <row r="590">
      <c r="A590" s="5"/>
      <c r="B590" s="5"/>
    </row>
    <row r="591">
      <c r="A591" s="5"/>
      <c r="B591" s="5"/>
    </row>
    <row r="592">
      <c r="A592" s="5"/>
      <c r="B592" s="5"/>
    </row>
    <row r="593">
      <c r="A593" s="5"/>
      <c r="B593" s="5"/>
    </row>
    <row r="594">
      <c r="A594" s="5"/>
      <c r="B594" s="5"/>
    </row>
    <row r="595">
      <c r="A595" s="5"/>
      <c r="B595" s="5"/>
    </row>
    <row r="596">
      <c r="A596" s="5"/>
      <c r="B596" s="5"/>
    </row>
    <row r="597">
      <c r="A597" s="5"/>
      <c r="B597" s="5"/>
    </row>
    <row r="598">
      <c r="A598" s="5"/>
      <c r="B598" s="5"/>
    </row>
    <row r="599">
      <c r="A599" s="5"/>
      <c r="B599" s="5"/>
    </row>
    <row r="600">
      <c r="A600" s="5"/>
      <c r="B600" s="5"/>
    </row>
    <row r="601">
      <c r="A601" s="5"/>
      <c r="B601" s="5"/>
    </row>
    <row r="602">
      <c r="A602" s="5"/>
      <c r="B602" s="5"/>
    </row>
    <row r="603">
      <c r="A603" s="5"/>
      <c r="B603" s="5"/>
    </row>
    <row r="604">
      <c r="A604" s="5"/>
      <c r="B604" s="5"/>
    </row>
    <row r="605">
      <c r="A605" s="5"/>
      <c r="B605" s="5"/>
    </row>
    <row r="606">
      <c r="A606" s="5"/>
      <c r="B606" s="5"/>
    </row>
    <row r="607">
      <c r="A607" s="5"/>
      <c r="B607" s="5"/>
    </row>
    <row r="608">
      <c r="A608" s="5"/>
      <c r="B608" s="5"/>
    </row>
    <row r="609">
      <c r="A609" s="5"/>
      <c r="B609" s="5"/>
    </row>
    <row r="610">
      <c r="A610" s="5"/>
      <c r="B610" s="5"/>
    </row>
    <row r="611">
      <c r="A611" s="5"/>
      <c r="B611" s="5"/>
    </row>
    <row r="612">
      <c r="A612" s="5"/>
      <c r="B612" s="5"/>
    </row>
    <row r="613">
      <c r="A613" s="5"/>
      <c r="B613" s="5"/>
    </row>
    <row r="614">
      <c r="A614" s="5"/>
      <c r="B614" s="5"/>
    </row>
    <row r="615">
      <c r="A615" s="5"/>
      <c r="B615" s="5"/>
    </row>
    <row r="616">
      <c r="A616" s="5"/>
      <c r="B616" s="5"/>
    </row>
    <row r="617">
      <c r="A617" s="5"/>
      <c r="B617" s="5"/>
    </row>
    <row r="618">
      <c r="A618" s="5"/>
      <c r="B618" s="5"/>
    </row>
    <row r="619">
      <c r="A619" s="5"/>
      <c r="B619" s="5"/>
    </row>
    <row r="620">
      <c r="A620" s="5"/>
      <c r="B620" s="5"/>
    </row>
    <row r="621">
      <c r="A621" s="5"/>
      <c r="B621" s="5"/>
    </row>
    <row r="622">
      <c r="A622" s="5"/>
      <c r="B622" s="5"/>
    </row>
    <row r="623">
      <c r="A623" s="5"/>
      <c r="B623" s="5"/>
    </row>
    <row r="624">
      <c r="A624" s="5"/>
      <c r="B624" s="5"/>
    </row>
    <row r="625">
      <c r="A625" s="5"/>
      <c r="B625" s="5"/>
    </row>
    <row r="626">
      <c r="A626" s="5"/>
      <c r="B626" s="5"/>
    </row>
    <row r="627">
      <c r="A627" s="5"/>
      <c r="B627" s="5"/>
    </row>
    <row r="628">
      <c r="A628" s="5"/>
      <c r="B628" s="5"/>
    </row>
    <row r="629">
      <c r="A629" s="5"/>
      <c r="B629" s="5"/>
    </row>
    <row r="630">
      <c r="A630" s="5"/>
      <c r="B630" s="5"/>
    </row>
    <row r="631">
      <c r="A631" s="5"/>
      <c r="B631" s="5"/>
    </row>
    <row r="632">
      <c r="A632" s="5"/>
      <c r="B632" s="5"/>
    </row>
    <row r="633">
      <c r="A633" s="5"/>
      <c r="B633" s="5"/>
    </row>
    <row r="634">
      <c r="A634" s="5"/>
      <c r="B634" s="5"/>
    </row>
    <row r="635">
      <c r="A635" s="5"/>
      <c r="B635" s="5"/>
    </row>
    <row r="636">
      <c r="A636" s="5"/>
      <c r="B636" s="5"/>
    </row>
    <row r="637">
      <c r="A637" s="5"/>
      <c r="B637" s="5"/>
    </row>
    <row r="638">
      <c r="A638" s="5"/>
      <c r="B638" s="5"/>
    </row>
    <row r="639">
      <c r="A639" s="5"/>
      <c r="B639" s="5"/>
    </row>
    <row r="640">
      <c r="A640" s="5"/>
      <c r="B640" s="5"/>
    </row>
    <row r="641">
      <c r="A641" s="5"/>
      <c r="B641" s="5"/>
    </row>
    <row r="642">
      <c r="A642" s="5"/>
      <c r="B642" s="5"/>
    </row>
    <row r="643">
      <c r="A643" s="5"/>
      <c r="B643" s="5"/>
    </row>
    <row r="644">
      <c r="A644" s="5"/>
      <c r="B644" s="5"/>
    </row>
    <row r="645">
      <c r="A645" s="5"/>
      <c r="B645" s="5"/>
    </row>
    <row r="646">
      <c r="A646" s="5"/>
      <c r="B646" s="5"/>
    </row>
    <row r="647">
      <c r="A647" s="5"/>
      <c r="B647" s="5"/>
    </row>
    <row r="648">
      <c r="A648" s="5"/>
      <c r="B648" s="5"/>
    </row>
    <row r="649">
      <c r="A649" s="5"/>
      <c r="B649" s="5"/>
    </row>
    <row r="650">
      <c r="A650" s="5"/>
      <c r="B650" s="5"/>
    </row>
    <row r="651">
      <c r="A651" s="5"/>
      <c r="B651" s="5"/>
    </row>
    <row r="652">
      <c r="A652" s="5"/>
      <c r="B652" s="5"/>
    </row>
    <row r="653">
      <c r="A653" s="5"/>
      <c r="B653" s="5"/>
    </row>
    <row r="654">
      <c r="A654" s="5"/>
      <c r="B654" s="5"/>
    </row>
    <row r="655">
      <c r="A655" s="5"/>
      <c r="B655" s="5"/>
    </row>
    <row r="656">
      <c r="A656" s="5"/>
      <c r="B656" s="5"/>
    </row>
    <row r="657">
      <c r="A657" s="5"/>
      <c r="B657" s="5"/>
    </row>
    <row r="658">
      <c r="A658" s="5"/>
      <c r="B658" s="5"/>
    </row>
    <row r="659">
      <c r="A659" s="5"/>
      <c r="B659" s="5"/>
    </row>
    <row r="660">
      <c r="A660" s="5"/>
      <c r="B660" s="5"/>
    </row>
    <row r="661">
      <c r="A661" s="5"/>
      <c r="B661" s="5"/>
    </row>
    <row r="662">
      <c r="A662" s="5"/>
      <c r="B662" s="5"/>
    </row>
    <row r="663">
      <c r="A663" s="5"/>
      <c r="B663" s="5"/>
    </row>
    <row r="664">
      <c r="A664" s="5"/>
      <c r="B664" s="5"/>
    </row>
    <row r="665">
      <c r="A665" s="5"/>
      <c r="B665" s="5"/>
    </row>
    <row r="666">
      <c r="A666" s="5"/>
      <c r="B666" s="5"/>
    </row>
    <row r="667">
      <c r="A667" s="5"/>
      <c r="B667" s="5"/>
    </row>
    <row r="668">
      <c r="A668" s="5"/>
      <c r="B668" s="5"/>
    </row>
    <row r="669">
      <c r="A669" s="5"/>
      <c r="B669" s="5"/>
    </row>
    <row r="670">
      <c r="A670" s="5"/>
      <c r="B670" s="5"/>
    </row>
    <row r="671">
      <c r="A671" s="5"/>
      <c r="B671" s="5"/>
    </row>
    <row r="672">
      <c r="A672" s="5"/>
      <c r="B672" s="5"/>
    </row>
    <row r="673">
      <c r="A673" s="5"/>
      <c r="B673" s="5"/>
    </row>
    <row r="674">
      <c r="A674" s="5"/>
      <c r="B674" s="5"/>
    </row>
    <row r="675">
      <c r="A675" s="5"/>
      <c r="B675" s="5"/>
    </row>
    <row r="676">
      <c r="A676" s="5"/>
      <c r="B676" s="5"/>
    </row>
    <row r="677">
      <c r="A677" s="5"/>
      <c r="B677" s="5"/>
    </row>
    <row r="678">
      <c r="A678" s="5"/>
      <c r="B678" s="5"/>
    </row>
    <row r="679">
      <c r="A679" s="5"/>
      <c r="B679" s="5"/>
    </row>
    <row r="680">
      <c r="A680" s="5"/>
      <c r="B680" s="5"/>
    </row>
    <row r="681">
      <c r="A681" s="5"/>
      <c r="B681" s="5"/>
    </row>
    <row r="682">
      <c r="A682" s="5"/>
      <c r="B682" s="5"/>
    </row>
    <row r="683">
      <c r="A683" s="5"/>
      <c r="B683" s="5"/>
    </row>
    <row r="684">
      <c r="A684" s="5"/>
      <c r="B684" s="5"/>
    </row>
    <row r="685">
      <c r="A685" s="5"/>
      <c r="B685" s="5"/>
    </row>
    <row r="686">
      <c r="A686" s="5"/>
      <c r="B686" s="5"/>
    </row>
    <row r="687">
      <c r="A687" s="5"/>
      <c r="B687" s="5"/>
    </row>
    <row r="688">
      <c r="A688" s="5"/>
      <c r="B688" s="5"/>
    </row>
    <row r="689">
      <c r="A689" s="5"/>
      <c r="B689" s="5"/>
    </row>
    <row r="690">
      <c r="A690" s="5"/>
      <c r="B690" s="5"/>
    </row>
    <row r="691">
      <c r="A691" s="5"/>
      <c r="B691" s="5"/>
    </row>
    <row r="692">
      <c r="A692" s="5"/>
      <c r="B692" s="5"/>
    </row>
    <row r="693">
      <c r="A693" s="5"/>
      <c r="B693" s="5"/>
    </row>
    <row r="694">
      <c r="A694" s="5"/>
      <c r="B694" s="5"/>
    </row>
    <row r="695">
      <c r="A695" s="5"/>
      <c r="B695" s="5"/>
    </row>
    <row r="696">
      <c r="A696" s="5"/>
      <c r="B696" s="5"/>
    </row>
    <row r="697">
      <c r="A697" s="5"/>
      <c r="B697" s="5"/>
    </row>
    <row r="698">
      <c r="A698" s="5"/>
      <c r="B698" s="5"/>
    </row>
    <row r="699">
      <c r="A699" s="5"/>
      <c r="B699" s="5"/>
    </row>
    <row r="700">
      <c r="A700" s="5"/>
      <c r="B700" s="5"/>
    </row>
    <row r="701">
      <c r="A701" s="5"/>
      <c r="B701" s="5"/>
    </row>
    <row r="702">
      <c r="A702" s="5"/>
      <c r="B702" s="5"/>
    </row>
    <row r="703">
      <c r="A703" s="5"/>
      <c r="B703" s="5"/>
    </row>
    <row r="704">
      <c r="A704" s="5"/>
      <c r="B704" s="5"/>
    </row>
    <row r="705">
      <c r="A705" s="5"/>
      <c r="B705" s="5"/>
    </row>
    <row r="706">
      <c r="A706" s="5"/>
      <c r="B706" s="5"/>
    </row>
    <row r="707">
      <c r="A707" s="5"/>
      <c r="B707" s="5"/>
    </row>
    <row r="708">
      <c r="A708" s="5"/>
      <c r="B708" s="5"/>
    </row>
    <row r="709">
      <c r="A709" s="5"/>
      <c r="B709" s="5"/>
    </row>
    <row r="710">
      <c r="A710" s="5"/>
      <c r="B710" s="5"/>
    </row>
    <row r="711">
      <c r="A711" s="5"/>
      <c r="B711" s="5"/>
    </row>
    <row r="712">
      <c r="A712" s="5"/>
      <c r="B712" s="5"/>
    </row>
    <row r="713">
      <c r="A713" s="5"/>
      <c r="B713" s="5"/>
    </row>
    <row r="714">
      <c r="A714" s="5"/>
      <c r="B714" s="5"/>
    </row>
    <row r="715">
      <c r="A715" s="5"/>
      <c r="B715" s="5"/>
    </row>
    <row r="716">
      <c r="A716" s="5"/>
      <c r="B716" s="5"/>
    </row>
    <row r="717">
      <c r="A717" s="5"/>
      <c r="B717" s="5"/>
    </row>
    <row r="718">
      <c r="A718" s="5"/>
      <c r="B718" s="5"/>
    </row>
    <row r="719">
      <c r="A719" s="5"/>
      <c r="B719" s="5"/>
    </row>
    <row r="720">
      <c r="A720" s="5"/>
      <c r="B720" s="5"/>
    </row>
    <row r="721">
      <c r="A721" s="5"/>
      <c r="B721" s="5"/>
    </row>
    <row r="722">
      <c r="A722" s="5"/>
      <c r="B722" s="5"/>
    </row>
    <row r="723">
      <c r="A723" s="5"/>
      <c r="B723" s="5"/>
    </row>
    <row r="724">
      <c r="A724" s="5"/>
      <c r="B724" s="5"/>
    </row>
    <row r="725">
      <c r="A725" s="5"/>
      <c r="B725" s="5"/>
    </row>
    <row r="726">
      <c r="A726" s="5"/>
      <c r="B726" s="5"/>
    </row>
    <row r="727">
      <c r="A727" s="5"/>
      <c r="B727" s="5"/>
    </row>
    <row r="728">
      <c r="A728" s="5"/>
      <c r="B728" s="5"/>
    </row>
    <row r="729">
      <c r="A729" s="5"/>
      <c r="B729" s="5"/>
    </row>
    <row r="730">
      <c r="A730" s="5"/>
      <c r="B730" s="5"/>
    </row>
    <row r="731">
      <c r="A731" s="5"/>
      <c r="B731" s="5"/>
    </row>
    <row r="732">
      <c r="A732" s="5"/>
      <c r="B732" s="5"/>
    </row>
    <row r="733">
      <c r="A733" s="5"/>
      <c r="B733" s="5"/>
    </row>
    <row r="734">
      <c r="A734" s="5"/>
      <c r="B734" s="5"/>
    </row>
    <row r="735">
      <c r="A735" s="5"/>
      <c r="B735" s="5"/>
    </row>
    <row r="736">
      <c r="A736" s="5"/>
      <c r="B736" s="5"/>
    </row>
    <row r="737">
      <c r="A737" s="5"/>
      <c r="B737" s="5"/>
    </row>
    <row r="738">
      <c r="A738" s="5"/>
      <c r="B738" s="5"/>
    </row>
    <row r="739">
      <c r="A739" s="5"/>
      <c r="B739" s="5"/>
    </row>
    <row r="740">
      <c r="A740" s="5"/>
      <c r="B740" s="5"/>
    </row>
    <row r="741">
      <c r="A741" s="5"/>
      <c r="B741" s="5"/>
    </row>
    <row r="742">
      <c r="A742" s="5"/>
      <c r="B742" s="5"/>
    </row>
    <row r="743">
      <c r="A743" s="5"/>
      <c r="B743" s="5"/>
    </row>
    <row r="744">
      <c r="A744" s="5"/>
      <c r="B744" s="5"/>
    </row>
    <row r="745">
      <c r="A745" s="5"/>
      <c r="B745" s="5"/>
    </row>
    <row r="746">
      <c r="A746" s="5"/>
      <c r="B746" s="5"/>
    </row>
    <row r="747">
      <c r="A747" s="5"/>
      <c r="B747" s="5"/>
    </row>
    <row r="748">
      <c r="A748" s="5"/>
      <c r="B748" s="5"/>
    </row>
    <row r="749">
      <c r="A749" s="5"/>
      <c r="B749" s="5"/>
    </row>
    <row r="750">
      <c r="A750" s="5"/>
      <c r="B750" s="5"/>
    </row>
    <row r="751">
      <c r="A751" s="5"/>
      <c r="B751" s="5"/>
    </row>
    <row r="752">
      <c r="A752" s="5"/>
      <c r="B752" s="5"/>
    </row>
    <row r="753">
      <c r="A753" s="5"/>
      <c r="B753" s="5"/>
    </row>
    <row r="754">
      <c r="A754" s="5"/>
      <c r="B754" s="5"/>
    </row>
    <row r="755">
      <c r="A755" s="5"/>
      <c r="B755" s="5"/>
    </row>
    <row r="756">
      <c r="A756" s="5"/>
      <c r="B756" s="5"/>
    </row>
    <row r="757">
      <c r="A757" s="5"/>
      <c r="B757" s="5"/>
    </row>
    <row r="758">
      <c r="A758" s="5"/>
      <c r="B758" s="5"/>
    </row>
    <row r="759">
      <c r="A759" s="5"/>
      <c r="B759" s="5"/>
    </row>
    <row r="760">
      <c r="A760" s="5"/>
      <c r="B760" s="5"/>
    </row>
    <row r="761">
      <c r="A761" s="5"/>
      <c r="B761" s="5"/>
    </row>
    <row r="762">
      <c r="A762" s="5"/>
      <c r="B762" s="5"/>
    </row>
    <row r="763">
      <c r="A763" s="5"/>
      <c r="B763" s="5"/>
    </row>
    <row r="764">
      <c r="A764" s="5"/>
      <c r="B764" s="5"/>
    </row>
    <row r="765">
      <c r="A765" s="5"/>
      <c r="B765" s="5"/>
    </row>
    <row r="766">
      <c r="A766" s="5"/>
      <c r="B766" s="5"/>
    </row>
    <row r="767">
      <c r="A767" s="5"/>
      <c r="B767" s="5"/>
    </row>
    <row r="768">
      <c r="A768" s="5"/>
      <c r="B768" s="5"/>
    </row>
    <row r="769">
      <c r="A769" s="5"/>
      <c r="B769" s="5"/>
    </row>
    <row r="770">
      <c r="A770" s="5"/>
      <c r="B770" s="5"/>
    </row>
    <row r="771">
      <c r="A771" s="5"/>
      <c r="B771" s="5"/>
    </row>
    <row r="772">
      <c r="A772" s="5"/>
      <c r="B772" s="5"/>
    </row>
    <row r="773">
      <c r="A773" s="5"/>
      <c r="B773" s="5"/>
    </row>
    <row r="774">
      <c r="A774" s="5"/>
      <c r="B774" s="5"/>
    </row>
    <row r="775">
      <c r="A775" s="5"/>
      <c r="B775" s="5"/>
    </row>
    <row r="776">
      <c r="A776" s="5"/>
      <c r="B776" s="5"/>
    </row>
    <row r="777">
      <c r="A777" s="5"/>
      <c r="B777" s="5"/>
    </row>
    <row r="778">
      <c r="A778" s="5"/>
      <c r="B778" s="5"/>
    </row>
    <row r="779">
      <c r="A779" s="5"/>
      <c r="B779" s="5"/>
    </row>
    <row r="780">
      <c r="A780" s="5"/>
      <c r="B780" s="5"/>
    </row>
    <row r="781">
      <c r="A781" s="5"/>
      <c r="B781" s="5"/>
    </row>
    <row r="782">
      <c r="A782" s="5"/>
      <c r="B782" s="5"/>
    </row>
    <row r="783">
      <c r="A783" s="5"/>
      <c r="B783" s="5"/>
    </row>
    <row r="784">
      <c r="A784" s="5"/>
      <c r="B784" s="5"/>
    </row>
    <row r="785">
      <c r="A785" s="5"/>
      <c r="B785" s="5"/>
    </row>
    <row r="786">
      <c r="A786" s="5"/>
      <c r="B786" s="5"/>
    </row>
    <row r="787">
      <c r="A787" s="5"/>
      <c r="B787" s="5"/>
    </row>
    <row r="788">
      <c r="A788" s="5"/>
      <c r="B788" s="5"/>
    </row>
    <row r="789">
      <c r="A789" s="5"/>
      <c r="B789" s="5"/>
    </row>
    <row r="790">
      <c r="A790" s="5"/>
      <c r="B790" s="5"/>
    </row>
    <row r="791">
      <c r="A791" s="5"/>
      <c r="B791" s="5"/>
    </row>
    <row r="792">
      <c r="A792" s="5"/>
      <c r="B792" s="5"/>
    </row>
    <row r="793">
      <c r="A793" s="5"/>
      <c r="B793" s="5"/>
    </row>
    <row r="794">
      <c r="A794" s="5"/>
      <c r="B794" s="5"/>
    </row>
    <row r="795">
      <c r="A795" s="5"/>
      <c r="B795" s="5"/>
    </row>
    <row r="796">
      <c r="A796" s="5"/>
      <c r="B796" s="5"/>
    </row>
    <row r="797">
      <c r="A797" s="5"/>
      <c r="B797" s="5"/>
    </row>
    <row r="798">
      <c r="A798" s="5"/>
      <c r="B798" s="5"/>
    </row>
    <row r="799">
      <c r="A799" s="5"/>
      <c r="B799" s="5"/>
    </row>
    <row r="800">
      <c r="A800" s="5"/>
      <c r="B800" s="5"/>
    </row>
    <row r="801">
      <c r="A801" s="5"/>
      <c r="B801" s="5"/>
    </row>
    <row r="802">
      <c r="A802" s="5"/>
      <c r="B802" s="5"/>
    </row>
    <row r="803">
      <c r="A803" s="5"/>
      <c r="B803" s="5"/>
    </row>
    <row r="804">
      <c r="A804" s="5"/>
      <c r="B804" s="5"/>
    </row>
    <row r="805">
      <c r="A805" s="5"/>
      <c r="B805" s="5"/>
    </row>
    <row r="806">
      <c r="A806" s="5"/>
      <c r="B806" s="5"/>
    </row>
    <row r="807">
      <c r="A807" s="5"/>
      <c r="B807" s="5"/>
    </row>
    <row r="808">
      <c r="A808" s="5"/>
      <c r="B808" s="5"/>
    </row>
    <row r="809">
      <c r="A809" s="5"/>
      <c r="B809" s="5"/>
    </row>
    <row r="810">
      <c r="A810" s="5"/>
      <c r="B810" s="5"/>
    </row>
    <row r="811">
      <c r="A811" s="5"/>
      <c r="B811" s="5"/>
    </row>
    <row r="812">
      <c r="A812" s="5"/>
      <c r="B812" s="5"/>
    </row>
    <row r="813">
      <c r="A813" s="5"/>
      <c r="B813" s="5"/>
    </row>
    <row r="814">
      <c r="A814" s="5"/>
      <c r="B814" s="5"/>
    </row>
    <row r="815">
      <c r="A815" s="5"/>
      <c r="B815" s="5"/>
    </row>
    <row r="816">
      <c r="A816" s="5"/>
      <c r="B816" s="5"/>
    </row>
    <row r="817">
      <c r="A817" s="5"/>
      <c r="B817" s="5"/>
    </row>
    <row r="818">
      <c r="A818" s="5"/>
      <c r="B818" s="5"/>
    </row>
    <row r="819">
      <c r="A819" s="5"/>
      <c r="B819" s="5"/>
    </row>
    <row r="820">
      <c r="A820" s="5"/>
      <c r="B820" s="5"/>
    </row>
    <row r="821">
      <c r="A821" s="5"/>
      <c r="B821" s="5"/>
    </row>
    <row r="822">
      <c r="A822" s="5"/>
      <c r="B822" s="5"/>
    </row>
    <row r="823">
      <c r="A823" s="5"/>
      <c r="B823" s="5"/>
    </row>
    <row r="824">
      <c r="A824" s="5"/>
      <c r="B824" s="5"/>
    </row>
    <row r="825">
      <c r="A825" s="5"/>
      <c r="B825" s="5"/>
    </row>
    <row r="826">
      <c r="A826" s="5"/>
      <c r="B826" s="5"/>
    </row>
    <row r="827">
      <c r="A827" s="5"/>
      <c r="B827" s="5"/>
    </row>
    <row r="828">
      <c r="A828" s="5"/>
      <c r="B828" s="5"/>
    </row>
    <row r="829">
      <c r="A829" s="5"/>
      <c r="B829" s="5"/>
    </row>
    <row r="830">
      <c r="A830" s="5"/>
      <c r="B830" s="5"/>
    </row>
    <row r="831">
      <c r="A831" s="5"/>
      <c r="B831" s="5"/>
    </row>
    <row r="832">
      <c r="A832" s="5"/>
      <c r="B832" s="5"/>
    </row>
    <row r="833">
      <c r="A833" s="5"/>
      <c r="B833" s="5"/>
    </row>
    <row r="834">
      <c r="A834" s="5"/>
      <c r="B834" s="5"/>
    </row>
    <row r="835">
      <c r="A835" s="5"/>
      <c r="B835" s="5"/>
    </row>
    <row r="836">
      <c r="A836" s="5"/>
      <c r="B836" s="5"/>
    </row>
    <row r="837">
      <c r="A837" s="5"/>
      <c r="B837" s="5"/>
    </row>
    <row r="838">
      <c r="A838" s="5"/>
      <c r="B838" s="5"/>
    </row>
    <row r="839">
      <c r="A839" s="5"/>
      <c r="B839" s="5"/>
    </row>
    <row r="840">
      <c r="A840" s="5"/>
      <c r="B840" s="5"/>
    </row>
    <row r="841">
      <c r="A841" s="5"/>
      <c r="B841" s="5"/>
    </row>
    <row r="842">
      <c r="A842" s="5"/>
      <c r="B842" s="5"/>
    </row>
    <row r="843">
      <c r="A843" s="5"/>
      <c r="B843" s="5"/>
    </row>
    <row r="844">
      <c r="A844" s="5"/>
      <c r="B844" s="5"/>
    </row>
    <row r="845">
      <c r="A845" s="5"/>
      <c r="B845" s="5"/>
    </row>
    <row r="846">
      <c r="A846" s="5"/>
      <c r="B846" s="5"/>
    </row>
    <row r="847">
      <c r="A847" s="5"/>
      <c r="B847" s="5"/>
    </row>
    <row r="848">
      <c r="A848" s="5"/>
      <c r="B848" s="5"/>
    </row>
    <row r="849">
      <c r="A849" s="5"/>
      <c r="B849" s="5"/>
    </row>
    <row r="850">
      <c r="A850" s="5"/>
      <c r="B850" s="5"/>
    </row>
    <row r="851">
      <c r="A851" s="5"/>
      <c r="B851" s="5"/>
    </row>
    <row r="852">
      <c r="A852" s="5"/>
      <c r="B852" s="5"/>
    </row>
    <row r="853">
      <c r="A853" s="5"/>
      <c r="B853" s="5"/>
    </row>
    <row r="854">
      <c r="A854" s="5"/>
      <c r="B854" s="5"/>
    </row>
    <row r="855">
      <c r="A855" s="5"/>
      <c r="B855" s="5"/>
    </row>
    <row r="856">
      <c r="A856" s="5"/>
      <c r="B856" s="5"/>
    </row>
    <row r="857">
      <c r="A857" s="5"/>
      <c r="B857" s="5"/>
    </row>
    <row r="858">
      <c r="A858" s="5"/>
      <c r="B858" s="5"/>
    </row>
    <row r="859">
      <c r="A859" s="5"/>
      <c r="B859" s="5"/>
    </row>
    <row r="860">
      <c r="A860" s="5"/>
      <c r="B860" s="5"/>
    </row>
    <row r="861">
      <c r="A861" s="5"/>
      <c r="B861" s="5"/>
    </row>
    <row r="862">
      <c r="A862" s="5"/>
      <c r="B862" s="5"/>
    </row>
    <row r="863">
      <c r="A863" s="5"/>
      <c r="B863" s="5"/>
    </row>
    <row r="864">
      <c r="A864" s="5"/>
      <c r="B864" s="5"/>
    </row>
    <row r="865">
      <c r="A865" s="5"/>
      <c r="B865" s="5"/>
    </row>
    <row r="866">
      <c r="A866" s="5"/>
      <c r="B866" s="5"/>
    </row>
    <row r="867">
      <c r="A867" s="5"/>
      <c r="B867" s="5"/>
    </row>
    <row r="868">
      <c r="A868" s="5"/>
      <c r="B868" s="5"/>
    </row>
    <row r="869">
      <c r="A869" s="5"/>
      <c r="B869" s="5"/>
    </row>
    <row r="870">
      <c r="A870" s="5"/>
      <c r="B870" s="5"/>
    </row>
    <row r="871">
      <c r="A871" s="5"/>
      <c r="B871" s="5"/>
    </row>
    <row r="872">
      <c r="A872" s="5"/>
      <c r="B872" s="5"/>
    </row>
    <row r="873">
      <c r="A873" s="5"/>
      <c r="B873" s="5"/>
    </row>
    <row r="874">
      <c r="A874" s="5"/>
      <c r="B874" s="5"/>
    </row>
    <row r="875">
      <c r="A875" s="5"/>
      <c r="B875" s="5"/>
    </row>
    <row r="876">
      <c r="A876" s="5"/>
      <c r="B876" s="5"/>
    </row>
    <row r="877">
      <c r="A877" s="5"/>
      <c r="B877" s="5"/>
    </row>
    <row r="878">
      <c r="A878" s="5"/>
      <c r="B878" s="5"/>
    </row>
    <row r="879">
      <c r="A879" s="5"/>
      <c r="B879" s="5"/>
    </row>
    <row r="880">
      <c r="A880" s="5"/>
      <c r="B880" s="5"/>
    </row>
    <row r="881">
      <c r="A881" s="5"/>
      <c r="B881" s="5"/>
    </row>
    <row r="882">
      <c r="A882" s="5"/>
      <c r="B882" s="5"/>
    </row>
    <row r="883">
      <c r="A883" s="5"/>
      <c r="B883" s="5"/>
    </row>
    <row r="884">
      <c r="A884" s="5"/>
      <c r="B884" s="5"/>
    </row>
    <row r="885">
      <c r="A885" s="5"/>
      <c r="B885" s="5"/>
    </row>
    <row r="886">
      <c r="A886" s="5"/>
      <c r="B886" s="5"/>
    </row>
    <row r="887">
      <c r="A887" s="5"/>
      <c r="B887" s="5"/>
    </row>
    <row r="888">
      <c r="A888" s="5"/>
      <c r="B888" s="5"/>
    </row>
    <row r="889">
      <c r="A889" s="5"/>
      <c r="B889" s="5"/>
    </row>
    <row r="890">
      <c r="A890" s="5"/>
      <c r="B890" s="5"/>
    </row>
    <row r="891">
      <c r="A891" s="5"/>
      <c r="B891" s="5"/>
    </row>
    <row r="892">
      <c r="A892" s="5"/>
      <c r="B892" s="5"/>
    </row>
    <row r="893">
      <c r="A893" s="5"/>
      <c r="B893" s="5"/>
    </row>
    <row r="894">
      <c r="A894" s="5"/>
      <c r="B894" s="5"/>
    </row>
    <row r="895">
      <c r="A895" s="5"/>
      <c r="B895" s="5"/>
    </row>
    <row r="896">
      <c r="A896" s="5"/>
      <c r="B896" s="5"/>
    </row>
    <row r="897">
      <c r="A897" s="5"/>
      <c r="B897" s="5"/>
    </row>
    <row r="898">
      <c r="A898" s="5"/>
      <c r="B898" s="5"/>
    </row>
    <row r="899">
      <c r="A899" s="5"/>
      <c r="B899" s="5"/>
    </row>
    <row r="900">
      <c r="A900" s="5"/>
      <c r="B900" s="5"/>
    </row>
    <row r="901">
      <c r="A901" s="5"/>
      <c r="B901" s="5"/>
    </row>
    <row r="902">
      <c r="A902" s="5"/>
      <c r="B902" s="5"/>
    </row>
    <row r="903">
      <c r="A903" s="5"/>
      <c r="B903" s="5"/>
    </row>
    <row r="904">
      <c r="A904" s="5"/>
      <c r="B904" s="5"/>
    </row>
    <row r="905">
      <c r="A905" s="5"/>
      <c r="B905" s="5"/>
    </row>
    <row r="906">
      <c r="A906" s="5"/>
      <c r="B906" s="5"/>
    </row>
    <row r="907">
      <c r="A907" s="5"/>
      <c r="B907" s="5"/>
    </row>
    <row r="908">
      <c r="A908" s="5"/>
      <c r="B908" s="5"/>
    </row>
    <row r="909">
      <c r="A909" s="5"/>
      <c r="B909" s="5"/>
    </row>
    <row r="910">
      <c r="A910" s="5"/>
      <c r="B910" s="5"/>
    </row>
    <row r="911">
      <c r="A911" s="5"/>
      <c r="B911" s="5"/>
    </row>
    <row r="912">
      <c r="A912" s="5"/>
      <c r="B912" s="5"/>
    </row>
    <row r="913">
      <c r="A913" s="5"/>
      <c r="B913" s="5"/>
    </row>
    <row r="914">
      <c r="A914" s="5"/>
      <c r="B914" s="5"/>
    </row>
    <row r="915">
      <c r="A915" s="5"/>
      <c r="B915" s="5"/>
    </row>
    <row r="916">
      <c r="A916" s="5"/>
      <c r="B916" s="5"/>
    </row>
    <row r="917">
      <c r="A917" s="5"/>
      <c r="B917" s="5"/>
    </row>
    <row r="918">
      <c r="A918" s="5"/>
      <c r="B918" s="5"/>
    </row>
    <row r="919">
      <c r="A919" s="5"/>
      <c r="B919" s="5"/>
    </row>
    <row r="920">
      <c r="A920" s="5"/>
      <c r="B920" s="5"/>
    </row>
    <row r="921">
      <c r="A921" s="5"/>
      <c r="B921" s="5"/>
    </row>
    <row r="922">
      <c r="A922" s="5"/>
      <c r="B922" s="5"/>
    </row>
    <row r="923">
      <c r="A923" s="5"/>
      <c r="B923" s="5"/>
    </row>
    <row r="924">
      <c r="A924" s="5"/>
      <c r="B924" s="5"/>
    </row>
    <row r="925">
      <c r="A925" s="5"/>
      <c r="B925" s="5"/>
    </row>
    <row r="926">
      <c r="A926" s="5"/>
      <c r="B926" s="5"/>
    </row>
    <row r="927">
      <c r="A927" s="5"/>
      <c r="B927" s="5"/>
    </row>
    <row r="928">
      <c r="A928" s="5"/>
      <c r="B928" s="5"/>
    </row>
    <row r="929">
      <c r="A929" s="5"/>
      <c r="B929" s="5"/>
    </row>
    <row r="930">
      <c r="A930" s="5"/>
      <c r="B930" s="5"/>
    </row>
    <row r="931">
      <c r="A931" s="5"/>
      <c r="B931" s="5"/>
    </row>
    <row r="932">
      <c r="A932" s="5"/>
      <c r="B932" s="5"/>
    </row>
    <row r="933">
      <c r="A933" s="5"/>
      <c r="B933" s="5"/>
    </row>
    <row r="934">
      <c r="A934" s="5"/>
      <c r="B934" s="5"/>
    </row>
    <row r="935">
      <c r="A935" s="5"/>
      <c r="B935" s="5"/>
    </row>
    <row r="936">
      <c r="A936" s="5"/>
      <c r="B936" s="5"/>
    </row>
    <row r="937">
      <c r="A937" s="5"/>
      <c r="B937" s="5"/>
    </row>
    <row r="938">
      <c r="A938" s="5"/>
      <c r="B938" s="5"/>
    </row>
    <row r="939">
      <c r="A939" s="5"/>
      <c r="B939" s="5"/>
    </row>
    <row r="940">
      <c r="A940" s="5"/>
      <c r="B940" s="5"/>
    </row>
    <row r="941">
      <c r="A941" s="5"/>
      <c r="B941" s="5"/>
    </row>
    <row r="942">
      <c r="A942" s="5"/>
      <c r="B942" s="5"/>
    </row>
    <row r="943">
      <c r="A943" s="5"/>
      <c r="B943" s="5"/>
    </row>
    <row r="944">
      <c r="A944" s="5"/>
      <c r="B944" s="5"/>
    </row>
    <row r="945">
      <c r="A945" s="5"/>
      <c r="B945" s="5"/>
    </row>
    <row r="946">
      <c r="A946" s="5"/>
      <c r="B946" s="5"/>
    </row>
    <row r="947">
      <c r="A947" s="5"/>
      <c r="B947" s="5"/>
    </row>
    <row r="948">
      <c r="A948" s="5"/>
      <c r="B948" s="5"/>
    </row>
    <row r="949">
      <c r="A949" s="5"/>
      <c r="B949" s="5"/>
    </row>
    <row r="950">
      <c r="A950" s="5"/>
      <c r="B950" s="5"/>
    </row>
    <row r="951">
      <c r="A951" s="5"/>
      <c r="B951" s="5"/>
    </row>
    <row r="952">
      <c r="A952" s="5"/>
      <c r="B952" s="5"/>
    </row>
    <row r="953">
      <c r="A953" s="5"/>
      <c r="B953" s="5"/>
    </row>
    <row r="954">
      <c r="A954" s="5"/>
      <c r="B954" s="5"/>
    </row>
    <row r="955">
      <c r="A955" s="5"/>
      <c r="B955" s="5"/>
    </row>
    <row r="956">
      <c r="A956" s="5"/>
      <c r="B956" s="5"/>
    </row>
    <row r="957">
      <c r="A957" s="5"/>
      <c r="B957" s="5"/>
    </row>
    <row r="958">
      <c r="A958" s="5"/>
      <c r="B958" s="5"/>
    </row>
    <row r="959">
      <c r="A959" s="5"/>
      <c r="B959" s="5"/>
    </row>
    <row r="960">
      <c r="A960" s="5"/>
      <c r="B960" s="5"/>
    </row>
    <row r="961">
      <c r="A961" s="5"/>
      <c r="B961" s="5"/>
    </row>
    <row r="962">
      <c r="A962" s="5"/>
      <c r="B962" s="5"/>
    </row>
    <row r="963">
      <c r="A963" s="5"/>
      <c r="B963" s="5"/>
    </row>
    <row r="964">
      <c r="A964" s="5"/>
      <c r="B964" s="5"/>
    </row>
    <row r="965">
      <c r="A965" s="5"/>
      <c r="B965" s="5"/>
    </row>
    <row r="966">
      <c r="A966" s="5"/>
      <c r="B966" s="5"/>
    </row>
    <row r="967">
      <c r="A967" s="5"/>
      <c r="B967" s="5"/>
    </row>
    <row r="968">
      <c r="A968" s="5"/>
      <c r="B968" s="5"/>
    </row>
    <row r="969">
      <c r="A969" s="5"/>
      <c r="B969" s="5"/>
    </row>
    <row r="970">
      <c r="A970" s="5"/>
      <c r="B970" s="5"/>
    </row>
    <row r="971">
      <c r="A971" s="5"/>
      <c r="B971" s="5"/>
    </row>
    <row r="972">
      <c r="A972" s="5"/>
      <c r="B972" s="5"/>
    </row>
    <row r="973">
      <c r="A973" s="5"/>
      <c r="B973" s="5"/>
    </row>
    <row r="974">
      <c r="A974" s="5"/>
      <c r="B974" s="5"/>
    </row>
    <row r="975">
      <c r="A975" s="5"/>
      <c r="B975" s="5"/>
    </row>
    <row r="976">
      <c r="A976" s="5"/>
      <c r="B976" s="5"/>
    </row>
    <row r="977">
      <c r="A977" s="5"/>
      <c r="B977" s="5"/>
    </row>
    <row r="978">
      <c r="A978" s="5"/>
      <c r="B978" s="5"/>
    </row>
    <row r="979">
      <c r="A979" s="5"/>
      <c r="B979" s="5"/>
    </row>
    <row r="980">
      <c r="A980" s="5"/>
      <c r="B980" s="5"/>
    </row>
    <row r="981">
      <c r="A981" s="5"/>
      <c r="B981" s="5"/>
    </row>
    <row r="982">
      <c r="A982" s="5"/>
      <c r="B982" s="5"/>
    </row>
    <row r="983">
      <c r="A983" s="5"/>
      <c r="B983" s="5"/>
    </row>
    <row r="984">
      <c r="A984" s="5"/>
      <c r="B984" s="5"/>
    </row>
    <row r="985">
      <c r="A985" s="5"/>
      <c r="B985" s="5"/>
    </row>
    <row r="986">
      <c r="A986" s="5"/>
      <c r="B986" s="5"/>
    </row>
    <row r="987">
      <c r="A987" s="5"/>
      <c r="B987" s="5"/>
    </row>
    <row r="988">
      <c r="A988" s="5"/>
      <c r="B988" s="5"/>
    </row>
    <row r="989">
      <c r="A989" s="5"/>
      <c r="B989" s="5"/>
    </row>
    <row r="990">
      <c r="A990" s="5"/>
      <c r="B990" s="5"/>
    </row>
    <row r="991">
      <c r="A991" s="5"/>
      <c r="B991" s="5"/>
    </row>
    <row r="992">
      <c r="A992" s="5"/>
      <c r="B992" s="5"/>
    </row>
    <row r="993">
      <c r="A993" s="5"/>
      <c r="B993" s="5"/>
    </row>
    <row r="994">
      <c r="A994" s="5"/>
      <c r="B994" s="5"/>
    </row>
    <row r="995">
      <c r="A995" s="5"/>
      <c r="B995" s="5"/>
    </row>
    <row r="996">
      <c r="A996" s="5"/>
      <c r="B996" s="5"/>
    </row>
    <row r="997">
      <c r="A997" s="5"/>
      <c r="B997" s="5"/>
    </row>
    <row r="998">
      <c r="A998" s="5"/>
      <c r="B998" s="5"/>
    </row>
    <row r="999">
      <c r="A999" s="5"/>
      <c r="B999" s="5"/>
    </row>
    <row r="1000">
      <c r="A1000" s="5"/>
      <c r="B1000" s="5"/>
    </row>
  </sheetData>
  <drawing r:id="rId1"/>
</worksheet>
</file>